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InteractoBot/evaluation/"/>
    </mc:Choice>
  </mc:AlternateContent>
  <xr:revisionPtr revIDLastSave="0" documentId="13_ncr:1_{B90AFE23-1413-2343-B4F3-F456F5EC9A74}" xr6:coauthVersionLast="47" xr6:coauthVersionMax="47" xr10:uidLastSave="{00000000-0000-0000-0000-000000000000}"/>
  <bookViews>
    <workbookView xWindow="6780" yWindow="4440" windowWidth="31640" windowHeight="19640" activeTab="2" xr2:uid="{484EE131-55FD-F246-A82E-4E47E236206B}"/>
  </bookViews>
  <sheets>
    <sheet name="VR Template-InteractoBot" sheetId="1" r:id="rId1"/>
    <sheet name="VR Template-Random" sheetId="2" r:id="rId2"/>
    <sheet name="XRI Assets-InteractoBot" sheetId="3" r:id="rId3"/>
    <sheet name="XRI Assets-Random" sheetId="4" r:id="rId4"/>
    <sheet name="EscapeProto-InteractoBot" sheetId="5" r:id="rId5"/>
    <sheet name="EscapeProto-Random" sheetId="6" r:id="rId6"/>
    <sheet name="GameJam-InteractoBot" sheetId="7" r:id="rId7"/>
    <sheet name="GameJam-Random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/>
  <c r="D2" i="3"/>
  <c r="C2" i="3"/>
  <c r="M7" i="4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B17" i="3" s="1"/>
  <c r="G18" i="3"/>
  <c r="G19" i="3"/>
  <c r="G20" i="3"/>
  <c r="B20" i="3" s="1"/>
  <c r="G21" i="3"/>
  <c r="B21" i="3" s="1"/>
  <c r="G3" i="3"/>
  <c r="G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" i="3" s="1"/>
  <c r="E21" i="3"/>
  <c r="E20" i="3"/>
  <c r="E19" i="3"/>
  <c r="E18" i="3"/>
  <c r="E17" i="3"/>
  <c r="E16" i="3"/>
  <c r="E15" i="3"/>
  <c r="E14" i="3"/>
  <c r="E13" i="3"/>
  <c r="E12" i="3"/>
  <c r="E11" i="3"/>
  <c r="B11" i="3" s="1"/>
  <c r="E10" i="3"/>
  <c r="E9" i="3"/>
  <c r="E8" i="3"/>
  <c r="B8" i="3" s="1"/>
  <c r="E7" i="3"/>
  <c r="B7" i="3" s="1"/>
  <c r="E6" i="3"/>
  <c r="B6" i="3" s="1"/>
  <c r="E5" i="3"/>
  <c r="B5" i="3" s="1"/>
  <c r="E4" i="3"/>
  <c r="B4" i="3" s="1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B18" i="3" s="1"/>
  <c r="D19" i="3"/>
  <c r="D20" i="3"/>
  <c r="D21" i="3"/>
  <c r="D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B19" i="3" s="1"/>
  <c r="C20" i="3"/>
  <c r="C21" i="3"/>
  <c r="C3" i="3"/>
  <c r="M7" i="3"/>
  <c r="M7" i="1"/>
  <c r="G21" i="2"/>
  <c r="G20" i="2"/>
  <c r="G19" i="2"/>
  <c r="G18" i="2"/>
  <c r="G17" i="2"/>
  <c r="G16" i="2"/>
  <c r="G15" i="2"/>
  <c r="G14" i="2"/>
  <c r="G13" i="2"/>
  <c r="G12" i="2"/>
  <c r="B12" i="2" s="1"/>
  <c r="G11" i="2"/>
  <c r="B11" i="2" s="1"/>
  <c r="G10" i="2"/>
  <c r="B10" i="2" s="1"/>
  <c r="G9" i="2"/>
  <c r="B9" i="2" s="1"/>
  <c r="G8" i="2"/>
  <c r="B8" i="2" s="1"/>
  <c r="G7" i="2"/>
  <c r="B7" i="2" s="1"/>
  <c r="G6" i="2"/>
  <c r="B6" i="2" s="1"/>
  <c r="G5" i="2"/>
  <c r="B5" i="2" s="1"/>
  <c r="G4" i="2"/>
  <c r="B4" i="2" s="1"/>
  <c r="G3" i="2"/>
  <c r="B3" i="2" s="1"/>
  <c r="G2" i="2"/>
  <c r="B13" i="2"/>
  <c r="B14" i="2"/>
  <c r="B15" i="2"/>
  <c r="B16" i="2"/>
  <c r="B17" i="2"/>
  <c r="B18" i="2"/>
  <c r="B19" i="2"/>
  <c r="B20" i="2"/>
  <c r="B21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" i="2"/>
  <c r="C14" i="2"/>
  <c r="C15" i="2"/>
  <c r="C16" i="2"/>
  <c r="C17" i="2"/>
  <c r="C18" i="2"/>
  <c r="C19" i="2"/>
  <c r="C20" i="2"/>
  <c r="C21" i="2"/>
  <c r="C9" i="2"/>
  <c r="C10" i="2"/>
  <c r="C11" i="2"/>
  <c r="C12" i="2"/>
  <c r="C13" i="2"/>
  <c r="C3" i="2"/>
  <c r="C4" i="2"/>
  <c r="C5" i="2"/>
  <c r="C6" i="2"/>
  <c r="C7" i="2"/>
  <c r="C8" i="2"/>
  <c r="C2" i="2"/>
  <c r="G4" i="1"/>
  <c r="G5" i="1"/>
  <c r="G6" i="1"/>
  <c r="G7" i="1"/>
  <c r="G8" i="1"/>
  <c r="G9" i="1"/>
  <c r="G10" i="1"/>
  <c r="G11" i="1"/>
  <c r="G12" i="1"/>
  <c r="G13" i="1"/>
  <c r="B13" i="1" s="1"/>
  <c r="G14" i="1"/>
  <c r="G15" i="1"/>
  <c r="G16" i="1"/>
  <c r="G17" i="1"/>
  <c r="G18" i="1"/>
  <c r="G19" i="1"/>
  <c r="G20" i="1"/>
  <c r="G21" i="1"/>
  <c r="G3" i="1"/>
  <c r="G2" i="1"/>
  <c r="B9" i="1"/>
  <c r="B12" i="1"/>
  <c r="B1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F2" i="1"/>
  <c r="C3" i="1"/>
  <c r="B3" i="1" s="1"/>
  <c r="C2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4" i="1"/>
  <c r="E3" i="1"/>
  <c r="E2" i="1"/>
  <c r="D4" i="1"/>
  <c r="B4" i="1" s="1"/>
  <c r="D5" i="1"/>
  <c r="B5" i="1" s="1"/>
  <c r="D6" i="1"/>
  <c r="B6" i="1" s="1"/>
  <c r="D7" i="1"/>
  <c r="B7" i="1" s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C21" i="1"/>
  <c r="B21" i="1" s="1"/>
  <c r="C20" i="1"/>
  <c r="B20" i="1" s="1"/>
  <c r="C19" i="1"/>
  <c r="B19" i="1" s="1"/>
  <c r="C18" i="1"/>
  <c r="B18" i="1" s="1"/>
  <c r="C17" i="1"/>
  <c r="B17" i="1" s="1"/>
  <c r="C16" i="1"/>
  <c r="B16" i="1" s="1"/>
  <c r="C15" i="1"/>
  <c r="C14" i="1"/>
  <c r="C13" i="1"/>
  <c r="C12" i="1"/>
  <c r="C11" i="1"/>
  <c r="C10" i="1"/>
  <c r="C9" i="1"/>
  <c r="C8" i="1"/>
  <c r="C7" i="1"/>
  <c r="C6" i="1"/>
  <c r="C5" i="1"/>
  <c r="C4" i="1"/>
  <c r="D3" i="1"/>
  <c r="D2" i="1"/>
  <c r="B10" i="7"/>
  <c r="B11" i="7"/>
  <c r="B9" i="7"/>
  <c r="B8" i="7"/>
  <c r="B7" i="7"/>
  <c r="B6" i="7"/>
  <c r="B5" i="7"/>
  <c r="B4" i="7"/>
  <c r="B3" i="7"/>
  <c r="B2" i="7"/>
  <c r="B11" i="8"/>
  <c r="B10" i="8"/>
  <c r="B9" i="8"/>
  <c r="B8" i="8"/>
  <c r="B7" i="8"/>
  <c r="B6" i="8"/>
  <c r="B5" i="8"/>
  <c r="B4" i="8"/>
  <c r="B3" i="8"/>
  <c r="B2" i="8"/>
  <c r="B6" i="5"/>
  <c r="B7" i="5"/>
  <c r="B8" i="5"/>
  <c r="B9" i="5"/>
  <c r="B10" i="5"/>
  <c r="B11" i="5"/>
  <c r="B5" i="5"/>
  <c r="B4" i="5"/>
  <c r="B3" i="5"/>
  <c r="B2" i="5"/>
  <c r="B11" i="6"/>
  <c r="B10" i="6"/>
  <c r="B9" i="6"/>
  <c r="B8" i="6"/>
  <c r="B7" i="6"/>
  <c r="B6" i="6"/>
  <c r="B5" i="6"/>
  <c r="B4" i="6"/>
  <c r="B3" i="6"/>
  <c r="B2" i="6"/>
  <c r="B11" i="4"/>
  <c r="B10" i="4"/>
  <c r="B9" i="4"/>
  <c r="B8" i="4"/>
  <c r="B7" i="4"/>
  <c r="B6" i="4"/>
  <c r="B5" i="4"/>
  <c r="B4" i="4"/>
  <c r="B3" i="4"/>
  <c r="B2" i="4"/>
  <c r="B14" i="3" l="1"/>
  <c r="B13" i="3"/>
  <c r="B16" i="3"/>
  <c r="B15" i="3"/>
  <c r="B10" i="3"/>
  <c r="B12" i="3"/>
  <c r="B9" i="3"/>
  <c r="B3" i="3"/>
  <c r="B11" i="1"/>
  <c r="B2" i="1"/>
  <c r="B10" i="1"/>
  <c r="B15" i="1"/>
  <c r="B8" i="1"/>
  <c r="B2" i="2"/>
</calcChain>
</file>

<file path=xl/sharedStrings.xml><?xml version="1.0" encoding="utf-8"?>
<sst xmlns="http://schemas.openxmlformats.org/spreadsheetml/2006/main" count="157" uniqueCount="23">
  <si>
    <t>Time</t>
  </si>
  <si>
    <t>Coverage</t>
  </si>
  <si>
    <t>Run 1</t>
  </si>
  <si>
    <t>Run 2</t>
  </si>
  <si>
    <t>Run 3</t>
  </si>
  <si>
    <t>Run 4</t>
  </si>
  <si>
    <t>Run 5</t>
  </si>
  <si>
    <t>Trigger</t>
  </si>
  <si>
    <t>Grab</t>
  </si>
  <si>
    <t>Total</t>
  </si>
  <si>
    <t>1/1</t>
  </si>
  <si>
    <t>8/8</t>
  </si>
  <si>
    <t>9/9</t>
  </si>
  <si>
    <t>Average</t>
  </si>
  <si>
    <t>0/1</t>
  </si>
  <si>
    <t>1/8</t>
  </si>
  <si>
    <t>1/9</t>
  </si>
  <si>
    <t>0/8</t>
  </si>
  <si>
    <t>0/9</t>
  </si>
  <si>
    <t>0.2/8</t>
  </si>
  <si>
    <t>0.2/9</t>
  </si>
  <si>
    <t>2/2</t>
  </si>
  <si>
    <t>6/6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</si>
</sst>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2" fontId="0" fillId="0" borderId="0" xfId="0" applyNumberFormat="1"/>
    <xf numFmtId="4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N21"/>
  <sheetViews>
    <sheetView zoomScale="150" workbookViewId="0">
      <selection activeCell="I1" sqref="I1:M7"/>
    </sheetView>
  </sheetViews>
  <sheetFormatPr baseColWidth="10" defaultRowHeight="16" x14ac:dyDescent="0.2"/>
  <cols>
    <col min="1" max="1" width="15.1640625" customWidth="1"/>
    <col min="2" max="2" width="12.6640625" style="1" customWidth="1"/>
    <col min="3" max="7" width="10.83203125" style="1"/>
    <col min="9" max="9" width="10.83203125" customWidth="1"/>
    <col min="10" max="14" width="10.83203125" style="2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0.53333333333333344</v>
      </c>
      <c r="C2" s="1">
        <f>4/9</f>
        <v>0.44444444444444442</v>
      </c>
      <c r="D2" s="1">
        <f>6/9</f>
        <v>0.66666666666666663</v>
      </c>
      <c r="E2" s="1">
        <f>4/9</f>
        <v>0.44444444444444442</v>
      </c>
      <c r="F2" s="1">
        <f>5/9</f>
        <v>0.55555555555555558</v>
      </c>
      <c r="G2" s="1">
        <f>5/9</f>
        <v>0.55555555555555558</v>
      </c>
      <c r="I2" s="2" t="s">
        <v>2</v>
      </c>
      <c r="J2" s="2" t="s">
        <v>10</v>
      </c>
      <c r="K2" s="2" t="s">
        <v>11</v>
      </c>
      <c r="L2" s="2" t="s">
        <v>12</v>
      </c>
      <c r="M2" s="1">
        <v>58.6</v>
      </c>
    </row>
    <row r="3" spans="1:13" x14ac:dyDescent="0.2">
      <c r="A3">
        <v>60</v>
      </c>
      <c r="B3" s="1">
        <f t="shared" ref="B3:B21" si="0">AVERAGE(C3:G3)</f>
        <v>0.97777777777777786</v>
      </c>
      <c r="C3" s="1">
        <f>9/9</f>
        <v>1</v>
      </c>
      <c r="D3" s="1">
        <f>9/9</f>
        <v>1</v>
      </c>
      <c r="E3" s="1">
        <f>8/9</f>
        <v>0.88888888888888884</v>
      </c>
      <c r="F3" s="1">
        <f>9/9</f>
        <v>1</v>
      </c>
      <c r="G3" s="1">
        <f>9/9</f>
        <v>1</v>
      </c>
      <c r="I3" s="2" t="s">
        <v>3</v>
      </c>
      <c r="J3" s="2" t="s">
        <v>10</v>
      </c>
      <c r="K3" s="2" t="s">
        <v>11</v>
      </c>
      <c r="L3" s="2" t="s">
        <v>12</v>
      </c>
      <c r="M3" s="1">
        <v>47</v>
      </c>
    </row>
    <row r="4" spans="1:13" x14ac:dyDescent="0.2">
      <c r="A4">
        <v>90</v>
      </c>
      <c r="B4" s="1">
        <f t="shared" si="0"/>
        <v>1</v>
      </c>
      <c r="C4" s="1">
        <f>9/9</f>
        <v>1</v>
      </c>
      <c r="D4" s="1">
        <f t="shared" ref="D4:E21" si="1">9/9</f>
        <v>1</v>
      </c>
      <c r="E4" s="1">
        <f>9/9</f>
        <v>1</v>
      </c>
      <c r="F4" s="1">
        <f t="shared" ref="F4:G21" si="2">9/9</f>
        <v>1</v>
      </c>
      <c r="G4" s="1">
        <f t="shared" si="2"/>
        <v>1</v>
      </c>
      <c r="I4" s="2" t="s">
        <v>4</v>
      </c>
      <c r="J4" s="2" t="s">
        <v>10</v>
      </c>
      <c r="K4" s="2" t="s">
        <v>11</v>
      </c>
      <c r="L4" s="2" t="s">
        <v>12</v>
      </c>
      <c r="M4" s="1">
        <v>62.5</v>
      </c>
    </row>
    <row r="5" spans="1:13" x14ac:dyDescent="0.2">
      <c r="A5">
        <v>120</v>
      </c>
      <c r="B5" s="1">
        <f t="shared" si="0"/>
        <v>1</v>
      </c>
      <c r="C5" s="1">
        <f t="shared" ref="C5:C21" si="3">9/9</f>
        <v>1</v>
      </c>
      <c r="D5" s="1">
        <f t="shared" si="1"/>
        <v>1</v>
      </c>
      <c r="E5" s="1">
        <f t="shared" si="1"/>
        <v>1</v>
      </c>
      <c r="F5" s="1">
        <f t="shared" si="2"/>
        <v>1</v>
      </c>
      <c r="G5" s="1">
        <f t="shared" si="2"/>
        <v>1</v>
      </c>
      <c r="I5" s="2" t="s">
        <v>5</v>
      </c>
      <c r="J5" s="2" t="s">
        <v>10</v>
      </c>
      <c r="K5" s="2" t="s">
        <v>11</v>
      </c>
      <c r="L5" s="2" t="s">
        <v>12</v>
      </c>
      <c r="M5" s="1">
        <v>48</v>
      </c>
    </row>
    <row r="6" spans="1:13" x14ac:dyDescent="0.2">
      <c r="A6">
        <v>150</v>
      </c>
      <c r="B6" s="1">
        <f t="shared" si="0"/>
        <v>1</v>
      </c>
      <c r="C6" s="1">
        <f t="shared" si="3"/>
        <v>1</v>
      </c>
      <c r="D6" s="1">
        <f t="shared" si="1"/>
        <v>1</v>
      </c>
      <c r="E6" s="1">
        <f t="shared" si="1"/>
        <v>1</v>
      </c>
      <c r="F6" s="1">
        <f t="shared" si="2"/>
        <v>1</v>
      </c>
      <c r="G6" s="1">
        <f t="shared" si="2"/>
        <v>1</v>
      </c>
      <c r="I6" s="2" t="s">
        <v>6</v>
      </c>
      <c r="J6" s="2" t="s">
        <v>10</v>
      </c>
      <c r="K6" s="2" t="s">
        <v>11</v>
      </c>
      <c r="L6" s="2" t="s">
        <v>12</v>
      </c>
      <c r="M6" s="1">
        <v>53.5</v>
      </c>
    </row>
    <row r="7" spans="1:13" x14ac:dyDescent="0.2">
      <c r="A7">
        <v>180</v>
      </c>
      <c r="B7" s="1">
        <f t="shared" si="0"/>
        <v>1</v>
      </c>
      <c r="C7" s="1">
        <f t="shared" si="3"/>
        <v>1</v>
      </c>
      <c r="D7" s="1">
        <f t="shared" si="1"/>
        <v>1</v>
      </c>
      <c r="E7" s="1">
        <f t="shared" si="1"/>
        <v>1</v>
      </c>
      <c r="F7" s="1">
        <f t="shared" si="2"/>
        <v>1</v>
      </c>
      <c r="G7" s="1">
        <f t="shared" si="2"/>
        <v>1</v>
      </c>
      <c r="I7" s="2" t="s">
        <v>13</v>
      </c>
      <c r="J7" s="2" t="s">
        <v>10</v>
      </c>
      <c r="K7" s="2" t="s">
        <v>11</v>
      </c>
      <c r="L7" s="2" t="s">
        <v>12</v>
      </c>
      <c r="M7" s="1">
        <f>AVERAGE(M2:M6)</f>
        <v>53.92</v>
      </c>
    </row>
    <row r="8" spans="1:13" x14ac:dyDescent="0.2">
      <c r="A8">
        <v>210</v>
      </c>
      <c r="B8" s="1">
        <f t="shared" si="0"/>
        <v>1</v>
      </c>
      <c r="C8" s="1">
        <f t="shared" si="3"/>
        <v>1</v>
      </c>
      <c r="D8" s="1">
        <f t="shared" si="1"/>
        <v>1</v>
      </c>
      <c r="E8" s="1">
        <f t="shared" si="1"/>
        <v>1</v>
      </c>
      <c r="F8" s="1">
        <f t="shared" si="2"/>
        <v>1</v>
      </c>
      <c r="G8" s="1">
        <f t="shared" si="2"/>
        <v>1</v>
      </c>
    </row>
    <row r="9" spans="1:13" x14ac:dyDescent="0.2">
      <c r="A9">
        <v>240</v>
      </c>
      <c r="B9" s="1">
        <f t="shared" si="0"/>
        <v>1</v>
      </c>
      <c r="C9" s="1">
        <f t="shared" si="3"/>
        <v>1</v>
      </c>
      <c r="D9" s="1">
        <f t="shared" si="1"/>
        <v>1</v>
      </c>
      <c r="E9" s="1">
        <f t="shared" si="1"/>
        <v>1</v>
      </c>
      <c r="F9" s="1">
        <f t="shared" si="2"/>
        <v>1</v>
      </c>
      <c r="G9" s="1">
        <f t="shared" si="2"/>
        <v>1</v>
      </c>
    </row>
    <row r="10" spans="1:13" x14ac:dyDescent="0.2">
      <c r="A10">
        <v>270</v>
      </c>
      <c r="B10" s="1">
        <f t="shared" si="0"/>
        <v>1</v>
      </c>
      <c r="C10" s="1">
        <f t="shared" si="3"/>
        <v>1</v>
      </c>
      <c r="D10" s="1">
        <f t="shared" si="1"/>
        <v>1</v>
      </c>
      <c r="E10" s="1">
        <f t="shared" si="1"/>
        <v>1</v>
      </c>
      <c r="F10" s="1">
        <f t="shared" si="2"/>
        <v>1</v>
      </c>
      <c r="G10" s="1">
        <f t="shared" si="2"/>
        <v>1</v>
      </c>
    </row>
    <row r="11" spans="1:13" x14ac:dyDescent="0.2">
      <c r="A11">
        <v>300</v>
      </c>
      <c r="B11" s="1">
        <f t="shared" si="0"/>
        <v>1</v>
      </c>
      <c r="C11" s="1">
        <f t="shared" si="3"/>
        <v>1</v>
      </c>
      <c r="D11" s="1">
        <f t="shared" si="1"/>
        <v>1</v>
      </c>
      <c r="E11" s="1">
        <f t="shared" si="1"/>
        <v>1</v>
      </c>
      <c r="F11" s="1">
        <f t="shared" si="2"/>
        <v>1</v>
      </c>
      <c r="G11" s="1">
        <f t="shared" si="2"/>
        <v>1</v>
      </c>
    </row>
    <row r="12" spans="1:13" x14ac:dyDescent="0.2">
      <c r="A12">
        <v>330</v>
      </c>
      <c r="B12" s="1">
        <f t="shared" si="0"/>
        <v>1</v>
      </c>
      <c r="C12" s="1">
        <f t="shared" si="3"/>
        <v>1</v>
      </c>
      <c r="D12" s="1">
        <f t="shared" si="1"/>
        <v>1</v>
      </c>
      <c r="E12" s="1">
        <f t="shared" si="1"/>
        <v>1</v>
      </c>
      <c r="F12" s="1">
        <f t="shared" si="2"/>
        <v>1</v>
      </c>
      <c r="G12" s="1">
        <f t="shared" si="2"/>
        <v>1</v>
      </c>
    </row>
    <row r="13" spans="1:13" x14ac:dyDescent="0.2">
      <c r="A13">
        <v>360</v>
      </c>
      <c r="B13" s="1">
        <f t="shared" si="0"/>
        <v>1</v>
      </c>
      <c r="C13" s="1">
        <f t="shared" si="3"/>
        <v>1</v>
      </c>
      <c r="D13" s="1">
        <f t="shared" si="1"/>
        <v>1</v>
      </c>
      <c r="E13" s="1">
        <f t="shared" si="1"/>
        <v>1</v>
      </c>
      <c r="F13" s="1">
        <f t="shared" si="2"/>
        <v>1</v>
      </c>
      <c r="G13" s="1">
        <f t="shared" si="2"/>
        <v>1</v>
      </c>
    </row>
    <row r="14" spans="1:13" x14ac:dyDescent="0.2">
      <c r="A14">
        <v>390</v>
      </c>
      <c r="B14" s="1">
        <f t="shared" si="0"/>
        <v>1</v>
      </c>
      <c r="C14" s="1">
        <f t="shared" si="3"/>
        <v>1</v>
      </c>
      <c r="D14" s="1">
        <f t="shared" si="1"/>
        <v>1</v>
      </c>
      <c r="E14" s="1">
        <f t="shared" si="1"/>
        <v>1</v>
      </c>
      <c r="F14" s="1">
        <f t="shared" si="2"/>
        <v>1</v>
      </c>
      <c r="G14" s="1">
        <f t="shared" si="2"/>
        <v>1</v>
      </c>
    </row>
    <row r="15" spans="1:13" x14ac:dyDescent="0.2">
      <c r="A15">
        <v>420</v>
      </c>
      <c r="B15" s="1">
        <f t="shared" si="0"/>
        <v>1</v>
      </c>
      <c r="C15" s="1">
        <f t="shared" si="3"/>
        <v>1</v>
      </c>
      <c r="D15" s="1">
        <f t="shared" si="1"/>
        <v>1</v>
      </c>
      <c r="E15" s="1">
        <f t="shared" si="1"/>
        <v>1</v>
      </c>
      <c r="F15" s="1">
        <f t="shared" si="2"/>
        <v>1</v>
      </c>
      <c r="G15" s="1">
        <f t="shared" si="2"/>
        <v>1</v>
      </c>
    </row>
    <row r="16" spans="1:13" x14ac:dyDescent="0.2">
      <c r="A16">
        <v>450</v>
      </c>
      <c r="B16" s="1">
        <f t="shared" si="0"/>
        <v>1</v>
      </c>
      <c r="C16" s="1">
        <f t="shared" si="3"/>
        <v>1</v>
      </c>
      <c r="D16" s="1">
        <f t="shared" si="1"/>
        <v>1</v>
      </c>
      <c r="E16" s="1">
        <f t="shared" si="1"/>
        <v>1</v>
      </c>
      <c r="F16" s="1">
        <f t="shared" si="2"/>
        <v>1</v>
      </c>
      <c r="G16" s="1">
        <f t="shared" si="2"/>
        <v>1</v>
      </c>
    </row>
    <row r="17" spans="1:7" x14ac:dyDescent="0.2">
      <c r="A17">
        <v>480</v>
      </c>
      <c r="B17" s="1">
        <f t="shared" si="0"/>
        <v>1</v>
      </c>
      <c r="C17" s="1">
        <f t="shared" si="3"/>
        <v>1</v>
      </c>
      <c r="D17" s="1">
        <f t="shared" si="1"/>
        <v>1</v>
      </c>
      <c r="E17" s="1">
        <f t="shared" si="1"/>
        <v>1</v>
      </c>
      <c r="F17" s="1">
        <f t="shared" si="2"/>
        <v>1</v>
      </c>
      <c r="G17" s="1">
        <f t="shared" si="2"/>
        <v>1</v>
      </c>
    </row>
    <row r="18" spans="1:7" x14ac:dyDescent="0.2">
      <c r="A18">
        <v>510</v>
      </c>
      <c r="B18" s="1">
        <f t="shared" si="0"/>
        <v>1</v>
      </c>
      <c r="C18" s="1">
        <f t="shared" si="3"/>
        <v>1</v>
      </c>
      <c r="D18" s="1">
        <f t="shared" si="1"/>
        <v>1</v>
      </c>
      <c r="E18" s="1">
        <f t="shared" si="1"/>
        <v>1</v>
      </c>
      <c r="F18" s="1">
        <f t="shared" si="2"/>
        <v>1</v>
      </c>
      <c r="G18" s="1">
        <f t="shared" si="2"/>
        <v>1</v>
      </c>
    </row>
    <row r="19" spans="1:7" x14ac:dyDescent="0.2">
      <c r="A19">
        <v>540</v>
      </c>
      <c r="B19" s="1">
        <f t="shared" si="0"/>
        <v>1</v>
      </c>
      <c r="C19" s="1">
        <f t="shared" si="3"/>
        <v>1</v>
      </c>
      <c r="D19" s="1">
        <f t="shared" si="1"/>
        <v>1</v>
      </c>
      <c r="E19" s="1">
        <f t="shared" si="1"/>
        <v>1</v>
      </c>
      <c r="F19" s="1">
        <f t="shared" si="2"/>
        <v>1</v>
      </c>
      <c r="G19" s="1">
        <f t="shared" si="2"/>
        <v>1</v>
      </c>
    </row>
    <row r="20" spans="1:7" x14ac:dyDescent="0.2">
      <c r="A20">
        <v>570</v>
      </c>
      <c r="B20" s="1">
        <f t="shared" si="0"/>
        <v>1</v>
      </c>
      <c r="C20" s="1">
        <f t="shared" si="3"/>
        <v>1</v>
      </c>
      <c r="D20" s="1">
        <f t="shared" si="1"/>
        <v>1</v>
      </c>
      <c r="E20" s="1">
        <f t="shared" si="1"/>
        <v>1</v>
      </c>
      <c r="F20" s="1">
        <f t="shared" si="2"/>
        <v>1</v>
      </c>
      <c r="G20" s="1">
        <f t="shared" si="2"/>
        <v>1</v>
      </c>
    </row>
    <row r="21" spans="1:7" x14ac:dyDescent="0.2">
      <c r="A21">
        <v>600</v>
      </c>
      <c r="B21" s="1">
        <f t="shared" si="0"/>
        <v>1</v>
      </c>
      <c r="C21" s="1">
        <f t="shared" si="3"/>
        <v>1</v>
      </c>
      <c r="D21" s="1">
        <f t="shared" si="1"/>
        <v>1</v>
      </c>
      <c r="E21" s="1">
        <f t="shared" si="1"/>
        <v>1</v>
      </c>
      <c r="F21" s="1">
        <f t="shared" si="2"/>
        <v>1</v>
      </c>
      <c r="G21" s="1">
        <f t="shared" si="2"/>
        <v>1</v>
      </c>
    </row>
  </sheetData>
  <phoneticPr fontId="18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N21"/>
  <sheetViews>
    <sheetView zoomScale="159" workbookViewId="0">
      <selection activeCell="L8" sqref="L8"/>
    </sheetView>
  </sheetViews>
  <sheetFormatPr baseColWidth="10" defaultRowHeight="16" x14ac:dyDescent="0.2"/>
  <cols>
    <col min="2" max="7" width="10.83203125" style="1"/>
  </cols>
  <sheetData>
    <row r="1" spans="1:14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/>
      <c r="N1" s="2"/>
    </row>
    <row r="2" spans="1:14" x14ac:dyDescent="0.2">
      <c r="A2">
        <v>30</v>
      </c>
      <c r="B2" s="1">
        <f>SUM(C2:G2)/5</f>
        <v>0</v>
      </c>
      <c r="C2" s="1">
        <f>0/9</f>
        <v>0</v>
      </c>
      <c r="D2" s="1">
        <f>0/9</f>
        <v>0</v>
      </c>
      <c r="E2" s="1">
        <f>0/9</f>
        <v>0</v>
      </c>
      <c r="F2" s="1">
        <f>0/9</f>
        <v>0</v>
      </c>
      <c r="G2" s="1">
        <f>0/9</f>
        <v>0</v>
      </c>
      <c r="I2" s="2" t="s">
        <v>2</v>
      </c>
      <c r="J2" s="2" t="s">
        <v>14</v>
      </c>
      <c r="K2" s="2" t="s">
        <v>15</v>
      </c>
      <c r="L2" s="2" t="s">
        <v>16</v>
      </c>
      <c r="M2" s="2"/>
      <c r="N2" s="2"/>
    </row>
    <row r="3" spans="1:14" x14ac:dyDescent="0.2">
      <c r="A3">
        <v>60</v>
      </c>
      <c r="B3" s="1">
        <f t="shared" ref="B3:B21" si="0">SUM(C3:G3)/5</f>
        <v>0</v>
      </c>
      <c r="C3" s="1">
        <f t="shared" ref="C3:G18" si="1">0/9</f>
        <v>0</v>
      </c>
      <c r="D3" s="1">
        <f t="shared" si="1"/>
        <v>0</v>
      </c>
      <c r="E3" s="1">
        <f t="shared" si="1"/>
        <v>0</v>
      </c>
      <c r="F3" s="1">
        <f t="shared" si="1"/>
        <v>0</v>
      </c>
      <c r="G3" s="1">
        <f t="shared" si="1"/>
        <v>0</v>
      </c>
      <c r="I3" s="2" t="s">
        <v>3</v>
      </c>
      <c r="J3" s="2" t="s">
        <v>14</v>
      </c>
      <c r="K3" t="s">
        <v>17</v>
      </c>
      <c r="L3" t="s">
        <v>18</v>
      </c>
      <c r="M3" s="2"/>
      <c r="N3" s="2"/>
    </row>
    <row r="4" spans="1:14" x14ac:dyDescent="0.2">
      <c r="A4">
        <v>90</v>
      </c>
      <c r="B4" s="1">
        <f t="shared" si="0"/>
        <v>0</v>
      </c>
      <c r="C4" s="1">
        <f t="shared" si="1"/>
        <v>0</v>
      </c>
      <c r="D4" s="1">
        <f t="shared" si="1"/>
        <v>0</v>
      </c>
      <c r="E4" s="1">
        <f t="shared" si="1"/>
        <v>0</v>
      </c>
      <c r="F4" s="1">
        <f t="shared" si="1"/>
        <v>0</v>
      </c>
      <c r="G4" s="1">
        <f t="shared" si="1"/>
        <v>0</v>
      </c>
      <c r="I4" s="2" t="s">
        <v>4</v>
      </c>
      <c r="J4" s="2" t="s">
        <v>14</v>
      </c>
      <c r="K4" t="s">
        <v>17</v>
      </c>
      <c r="L4" t="s">
        <v>18</v>
      </c>
      <c r="M4" s="2"/>
      <c r="N4" s="2"/>
    </row>
    <row r="5" spans="1:14" x14ac:dyDescent="0.2">
      <c r="A5">
        <v>120</v>
      </c>
      <c r="B5" s="1">
        <f t="shared" si="0"/>
        <v>0</v>
      </c>
      <c r="C5" s="1">
        <f t="shared" si="1"/>
        <v>0</v>
      </c>
      <c r="D5" s="1">
        <f t="shared" si="1"/>
        <v>0</v>
      </c>
      <c r="E5" s="1">
        <f t="shared" si="1"/>
        <v>0</v>
      </c>
      <c r="F5" s="1">
        <f t="shared" si="1"/>
        <v>0</v>
      </c>
      <c r="G5" s="1">
        <f t="shared" si="1"/>
        <v>0</v>
      </c>
      <c r="I5" s="2" t="s">
        <v>5</v>
      </c>
      <c r="J5" s="2" t="s">
        <v>14</v>
      </c>
      <c r="K5" t="s">
        <v>17</v>
      </c>
      <c r="L5" t="s">
        <v>18</v>
      </c>
      <c r="M5" s="2"/>
      <c r="N5" s="2"/>
    </row>
    <row r="6" spans="1:14" x14ac:dyDescent="0.2">
      <c r="A6">
        <v>150</v>
      </c>
      <c r="B6" s="1">
        <f t="shared" si="0"/>
        <v>0</v>
      </c>
      <c r="C6" s="1">
        <f t="shared" si="1"/>
        <v>0</v>
      </c>
      <c r="D6" s="1">
        <f t="shared" si="1"/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I6" s="2" t="s">
        <v>6</v>
      </c>
      <c r="J6" s="2" t="s">
        <v>14</v>
      </c>
      <c r="K6" t="s">
        <v>17</v>
      </c>
      <c r="L6" t="s">
        <v>18</v>
      </c>
      <c r="M6" s="2"/>
      <c r="N6" s="2"/>
    </row>
    <row r="7" spans="1:14" x14ac:dyDescent="0.2">
      <c r="A7">
        <v>180</v>
      </c>
      <c r="B7" s="1">
        <f t="shared" si="0"/>
        <v>0</v>
      </c>
      <c r="C7" s="1">
        <f t="shared" si="1"/>
        <v>0</v>
      </c>
      <c r="D7" s="1">
        <f t="shared" si="1"/>
        <v>0</v>
      </c>
      <c r="E7" s="1">
        <f t="shared" si="1"/>
        <v>0</v>
      </c>
      <c r="F7" s="1">
        <f t="shared" si="1"/>
        <v>0</v>
      </c>
      <c r="G7" s="1">
        <f t="shared" si="1"/>
        <v>0</v>
      </c>
      <c r="I7" s="2" t="s">
        <v>13</v>
      </c>
      <c r="J7" s="2" t="s">
        <v>14</v>
      </c>
      <c r="K7" t="s">
        <v>19</v>
      </c>
      <c r="L7" t="s">
        <v>20</v>
      </c>
      <c r="M7" s="2"/>
      <c r="N7" s="2"/>
    </row>
    <row r="8" spans="1:14" x14ac:dyDescent="0.2">
      <c r="A8">
        <v>210</v>
      </c>
      <c r="B8" s="1">
        <f t="shared" si="0"/>
        <v>2.222222222222222E-2</v>
      </c>
      <c r="C8" s="1">
        <f>1/9</f>
        <v>0.1111111111111111</v>
      </c>
      <c r="D8" s="1">
        <f t="shared" si="1"/>
        <v>0</v>
      </c>
      <c r="E8" s="1">
        <f t="shared" si="1"/>
        <v>0</v>
      </c>
      <c r="F8" s="1">
        <f t="shared" si="1"/>
        <v>0</v>
      </c>
      <c r="G8" s="1">
        <f t="shared" si="1"/>
        <v>0</v>
      </c>
    </row>
    <row r="9" spans="1:14" x14ac:dyDescent="0.2">
      <c r="A9">
        <v>240</v>
      </c>
      <c r="B9" s="1">
        <f t="shared" si="0"/>
        <v>2.222222222222222E-2</v>
      </c>
      <c r="C9" s="1">
        <f t="shared" ref="C9:C21" si="2">1/9</f>
        <v>0.1111111111111111</v>
      </c>
      <c r="D9" s="1">
        <f t="shared" si="1"/>
        <v>0</v>
      </c>
      <c r="E9" s="1">
        <f t="shared" si="1"/>
        <v>0</v>
      </c>
      <c r="F9" s="1">
        <f t="shared" si="1"/>
        <v>0</v>
      </c>
      <c r="G9" s="1">
        <f t="shared" si="1"/>
        <v>0</v>
      </c>
    </row>
    <row r="10" spans="1:14" x14ac:dyDescent="0.2">
      <c r="A10">
        <v>270</v>
      </c>
      <c r="B10" s="1">
        <f t="shared" si="0"/>
        <v>2.222222222222222E-2</v>
      </c>
      <c r="C10" s="1">
        <f t="shared" si="2"/>
        <v>0.1111111111111111</v>
      </c>
      <c r="D10" s="1">
        <f t="shared" si="1"/>
        <v>0</v>
      </c>
      <c r="E10" s="1">
        <f t="shared" si="1"/>
        <v>0</v>
      </c>
      <c r="F10" s="1">
        <f t="shared" si="1"/>
        <v>0</v>
      </c>
      <c r="G10" s="1">
        <f t="shared" si="1"/>
        <v>0</v>
      </c>
    </row>
    <row r="11" spans="1:14" x14ac:dyDescent="0.2">
      <c r="A11">
        <v>300</v>
      </c>
      <c r="B11" s="1">
        <f t="shared" si="0"/>
        <v>2.222222222222222E-2</v>
      </c>
      <c r="C11" s="1">
        <f t="shared" si="2"/>
        <v>0.1111111111111111</v>
      </c>
      <c r="D11" s="1">
        <f t="shared" si="1"/>
        <v>0</v>
      </c>
      <c r="E11" s="1">
        <f t="shared" si="1"/>
        <v>0</v>
      </c>
      <c r="F11" s="1">
        <f t="shared" si="1"/>
        <v>0</v>
      </c>
      <c r="G11" s="1">
        <f t="shared" si="1"/>
        <v>0</v>
      </c>
    </row>
    <row r="12" spans="1:14" x14ac:dyDescent="0.2">
      <c r="A12">
        <v>330</v>
      </c>
      <c r="B12" s="1">
        <f t="shared" si="0"/>
        <v>2.222222222222222E-2</v>
      </c>
      <c r="C12" s="1">
        <f t="shared" si="2"/>
        <v>0.1111111111111111</v>
      </c>
      <c r="D12" s="1">
        <f t="shared" si="1"/>
        <v>0</v>
      </c>
      <c r="E12" s="1">
        <f t="shared" si="1"/>
        <v>0</v>
      </c>
      <c r="F12" s="1">
        <f t="shared" si="1"/>
        <v>0</v>
      </c>
      <c r="G12" s="1">
        <f t="shared" si="1"/>
        <v>0</v>
      </c>
    </row>
    <row r="13" spans="1:14" x14ac:dyDescent="0.2">
      <c r="A13">
        <v>360</v>
      </c>
      <c r="B13" s="1">
        <f t="shared" si="0"/>
        <v>2.222222222222222E-2</v>
      </c>
      <c r="C13" s="1">
        <f t="shared" si="2"/>
        <v>0.1111111111111111</v>
      </c>
      <c r="D13" s="1">
        <f t="shared" si="1"/>
        <v>0</v>
      </c>
      <c r="E13" s="1">
        <f t="shared" si="1"/>
        <v>0</v>
      </c>
      <c r="F13" s="1">
        <f t="shared" si="1"/>
        <v>0</v>
      </c>
      <c r="G13" s="1">
        <f t="shared" si="1"/>
        <v>0</v>
      </c>
    </row>
    <row r="14" spans="1:14" x14ac:dyDescent="0.2">
      <c r="A14">
        <v>390</v>
      </c>
      <c r="B14" s="1">
        <f t="shared" si="0"/>
        <v>2.222222222222222E-2</v>
      </c>
      <c r="C14" s="1">
        <f t="shared" si="2"/>
        <v>0.1111111111111111</v>
      </c>
      <c r="D14" s="1">
        <f t="shared" si="1"/>
        <v>0</v>
      </c>
      <c r="E14" s="1">
        <f t="shared" si="1"/>
        <v>0</v>
      </c>
      <c r="F14" s="1">
        <f t="shared" si="1"/>
        <v>0</v>
      </c>
      <c r="G14" s="1">
        <f t="shared" si="1"/>
        <v>0</v>
      </c>
    </row>
    <row r="15" spans="1:14" x14ac:dyDescent="0.2">
      <c r="A15">
        <v>420</v>
      </c>
      <c r="B15" s="1">
        <f t="shared" si="0"/>
        <v>2.222222222222222E-2</v>
      </c>
      <c r="C15" s="1">
        <f t="shared" si="2"/>
        <v>0.1111111111111111</v>
      </c>
      <c r="D15" s="1">
        <f t="shared" si="1"/>
        <v>0</v>
      </c>
      <c r="E15" s="1">
        <f t="shared" si="1"/>
        <v>0</v>
      </c>
      <c r="F15" s="1">
        <f t="shared" si="1"/>
        <v>0</v>
      </c>
      <c r="G15" s="1">
        <f t="shared" si="1"/>
        <v>0</v>
      </c>
    </row>
    <row r="16" spans="1:14" x14ac:dyDescent="0.2">
      <c r="A16">
        <v>450</v>
      </c>
      <c r="B16" s="1">
        <f t="shared" si="0"/>
        <v>2.222222222222222E-2</v>
      </c>
      <c r="C16" s="1">
        <f t="shared" si="2"/>
        <v>0.1111111111111111</v>
      </c>
      <c r="D16" s="1">
        <f t="shared" si="1"/>
        <v>0</v>
      </c>
      <c r="E16" s="1">
        <f t="shared" si="1"/>
        <v>0</v>
      </c>
      <c r="F16" s="1">
        <f t="shared" si="1"/>
        <v>0</v>
      </c>
      <c r="G16" s="1">
        <f t="shared" si="1"/>
        <v>0</v>
      </c>
    </row>
    <row r="17" spans="1:7" x14ac:dyDescent="0.2">
      <c r="A17">
        <v>480</v>
      </c>
      <c r="B17" s="1">
        <f t="shared" si="0"/>
        <v>2.222222222222222E-2</v>
      </c>
      <c r="C17" s="1">
        <f t="shared" si="2"/>
        <v>0.1111111111111111</v>
      </c>
      <c r="D17" s="1">
        <f t="shared" si="1"/>
        <v>0</v>
      </c>
      <c r="E17" s="1">
        <f t="shared" si="1"/>
        <v>0</v>
      </c>
      <c r="F17" s="1">
        <f t="shared" si="1"/>
        <v>0</v>
      </c>
      <c r="G17" s="1">
        <f t="shared" si="1"/>
        <v>0</v>
      </c>
    </row>
    <row r="18" spans="1:7" x14ac:dyDescent="0.2">
      <c r="A18">
        <v>510</v>
      </c>
      <c r="B18" s="1">
        <f t="shared" si="0"/>
        <v>2.222222222222222E-2</v>
      </c>
      <c r="C18" s="1">
        <f t="shared" si="2"/>
        <v>0.1111111111111111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</row>
    <row r="19" spans="1:7" x14ac:dyDescent="0.2">
      <c r="A19">
        <v>540</v>
      </c>
      <c r="B19" s="1">
        <f t="shared" si="0"/>
        <v>2.222222222222222E-2</v>
      </c>
      <c r="C19" s="1">
        <f t="shared" si="2"/>
        <v>0.1111111111111111</v>
      </c>
      <c r="D19" s="1">
        <f t="shared" ref="D19:G21" si="3">0/9</f>
        <v>0</v>
      </c>
      <c r="E19" s="1">
        <f t="shared" si="3"/>
        <v>0</v>
      </c>
      <c r="F19" s="1">
        <f t="shared" si="3"/>
        <v>0</v>
      </c>
      <c r="G19" s="1">
        <f t="shared" si="3"/>
        <v>0</v>
      </c>
    </row>
    <row r="20" spans="1:7" x14ac:dyDescent="0.2">
      <c r="A20">
        <v>570</v>
      </c>
      <c r="B20" s="1">
        <f t="shared" si="0"/>
        <v>2.222222222222222E-2</v>
      </c>
      <c r="C20" s="1">
        <f t="shared" si="2"/>
        <v>0.1111111111111111</v>
      </c>
      <c r="D20" s="1">
        <f t="shared" si="3"/>
        <v>0</v>
      </c>
      <c r="E20" s="1">
        <f t="shared" si="3"/>
        <v>0</v>
      </c>
      <c r="F20" s="1">
        <f t="shared" si="3"/>
        <v>0</v>
      </c>
      <c r="G20" s="1">
        <f t="shared" si="3"/>
        <v>0</v>
      </c>
    </row>
    <row r="21" spans="1:7" x14ac:dyDescent="0.2">
      <c r="A21">
        <v>600</v>
      </c>
      <c r="B21" s="1">
        <f t="shared" si="0"/>
        <v>2.222222222222222E-2</v>
      </c>
      <c r="C21" s="1">
        <f t="shared" si="2"/>
        <v>0.1111111111111111</v>
      </c>
      <c r="D21" s="1">
        <f t="shared" si="3"/>
        <v>0</v>
      </c>
      <c r="E21" s="1">
        <f t="shared" si="3"/>
        <v>0</v>
      </c>
      <c r="F21" s="1">
        <f t="shared" si="3"/>
        <v>0</v>
      </c>
      <c r="G21" s="1">
        <f t="shared" si="3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M21"/>
  <sheetViews>
    <sheetView tabSelected="1" zoomScale="165" workbookViewId="0">
      <selection activeCell="M7" sqref="M7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0.625</v>
      </c>
      <c r="C2" s="1">
        <f>7/8</f>
        <v>0.875</v>
      </c>
      <c r="D2" s="1">
        <f>4/8</f>
        <v>0.5</v>
      </c>
      <c r="E2" s="1">
        <f>4/8</f>
        <v>0.5</v>
      </c>
      <c r="F2" s="1">
        <f>4/8</f>
        <v>0.5</v>
      </c>
      <c r="G2" s="1">
        <f>6/8</f>
        <v>0.75</v>
      </c>
      <c r="I2" s="2" t="s">
        <v>2</v>
      </c>
      <c r="J2" s="2" t="s">
        <v>21</v>
      </c>
      <c r="K2" s="2" t="s">
        <v>22</v>
      </c>
      <c r="L2" s="2" t="s">
        <v>11</v>
      </c>
      <c r="M2" s="1">
        <v>30.2</v>
      </c>
    </row>
    <row r="3" spans="1:13" x14ac:dyDescent="0.2">
      <c r="A3">
        <v>60</v>
      </c>
      <c r="B3" s="1">
        <f t="shared" ref="B3:B21" si="0">AVERAGE(C3:G3)</f>
        <v>1</v>
      </c>
      <c r="C3" s="1">
        <f>8/8</f>
        <v>1</v>
      </c>
      <c r="D3" s="1">
        <f>8/8</f>
        <v>1</v>
      </c>
      <c r="E3" s="1">
        <f>8/8</f>
        <v>1</v>
      </c>
      <c r="F3" s="1">
        <f>8/8</f>
        <v>1</v>
      </c>
      <c r="G3" s="1">
        <f>8/8</f>
        <v>1</v>
      </c>
      <c r="I3" s="2" t="s">
        <v>3</v>
      </c>
      <c r="J3" s="2" t="s">
        <v>21</v>
      </c>
      <c r="K3" s="2" t="s">
        <v>22</v>
      </c>
      <c r="L3" s="2" t="s">
        <v>11</v>
      </c>
      <c r="M3" s="1">
        <v>34.5</v>
      </c>
    </row>
    <row r="4" spans="1:13" x14ac:dyDescent="0.2">
      <c r="A4">
        <v>90</v>
      </c>
      <c r="B4" s="1">
        <f t="shared" si="0"/>
        <v>1</v>
      </c>
      <c r="C4" s="1">
        <f t="shared" ref="C4:G21" si="1">8/8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21</v>
      </c>
      <c r="K4" s="2" t="s">
        <v>22</v>
      </c>
      <c r="L4" s="2" t="s">
        <v>11</v>
      </c>
      <c r="M4" s="1">
        <v>34.4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21</v>
      </c>
      <c r="K5" s="2" t="s">
        <v>22</v>
      </c>
      <c r="L5" s="2" t="s">
        <v>11</v>
      </c>
      <c r="M5" s="1">
        <v>34.5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21</v>
      </c>
      <c r="K6" s="2" t="s">
        <v>22</v>
      </c>
      <c r="L6" s="2" t="s">
        <v>11</v>
      </c>
      <c r="M6" s="1">
        <v>34.6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21</v>
      </c>
      <c r="K7" s="2" t="s">
        <v>22</v>
      </c>
      <c r="L7" s="2" t="s">
        <v>11</v>
      </c>
      <c r="M7" s="1">
        <f>AVERAGE(M2:M6)</f>
        <v>33.64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M21"/>
  <sheetViews>
    <sheetView zoomScale="150" workbookViewId="0">
      <selection activeCell="I1" sqref="I1:M7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  <c r="I2" s="2" t="s">
        <v>2</v>
      </c>
      <c r="J2" s="2" t="s">
        <v>21</v>
      </c>
      <c r="K2" s="2" t="s">
        <v>22</v>
      </c>
      <c r="L2" s="2" t="s">
        <v>11</v>
      </c>
      <c r="M2" s="1">
        <v>37.1</v>
      </c>
    </row>
    <row r="3" spans="1:13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1</v>
      </c>
      <c r="F3">
        <v>0</v>
      </c>
      <c r="G3">
        <v>0</v>
      </c>
      <c r="I3" s="2" t="s">
        <v>3</v>
      </c>
      <c r="J3" s="2" t="s">
        <v>21</v>
      </c>
      <c r="K3" s="2" t="s">
        <v>22</v>
      </c>
      <c r="L3" s="2" t="s">
        <v>11</v>
      </c>
      <c r="M3" s="1">
        <v>43.1</v>
      </c>
    </row>
    <row r="4" spans="1:13" x14ac:dyDescent="0.2">
      <c r="A4">
        <v>90</v>
      </c>
      <c r="B4" s="1">
        <f t="shared" si="0"/>
        <v>3.6363636363636369E-2</v>
      </c>
      <c r="C4">
        <v>0</v>
      </c>
      <c r="D4">
        <v>0</v>
      </c>
      <c r="E4">
        <v>1</v>
      </c>
      <c r="F4">
        <v>1</v>
      </c>
      <c r="G4">
        <v>0</v>
      </c>
      <c r="I4" s="2" t="s">
        <v>4</v>
      </c>
      <c r="J4" s="2" t="s">
        <v>21</v>
      </c>
      <c r="K4" s="2" t="s">
        <v>22</v>
      </c>
      <c r="L4" s="2" t="s">
        <v>11</v>
      </c>
      <c r="M4" s="1">
        <v>53.7</v>
      </c>
    </row>
    <row r="5" spans="1:13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1</v>
      </c>
      <c r="G5">
        <v>0</v>
      </c>
      <c r="I5" s="2" t="s">
        <v>5</v>
      </c>
      <c r="J5" s="2" t="s">
        <v>21</v>
      </c>
      <c r="K5" s="2" t="s">
        <v>22</v>
      </c>
      <c r="L5" s="2" t="s">
        <v>11</v>
      </c>
      <c r="M5" s="1">
        <v>42.4</v>
      </c>
    </row>
    <row r="6" spans="1:13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1</v>
      </c>
      <c r="G6">
        <v>0</v>
      </c>
      <c r="I6" s="2" t="s">
        <v>6</v>
      </c>
      <c r="J6" s="2" t="s">
        <v>21</v>
      </c>
      <c r="K6" s="2" t="s">
        <v>22</v>
      </c>
      <c r="L6" s="2" t="s">
        <v>11</v>
      </c>
      <c r="M6" s="1">
        <v>33.5</v>
      </c>
    </row>
    <row r="7" spans="1:13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1</v>
      </c>
      <c r="G7">
        <v>0</v>
      </c>
      <c r="I7" s="2" t="s">
        <v>13</v>
      </c>
      <c r="J7" s="2" t="s">
        <v>21</v>
      </c>
      <c r="K7" s="2" t="s">
        <v>22</v>
      </c>
      <c r="L7" s="2" t="s">
        <v>11</v>
      </c>
      <c r="M7" s="1">
        <f>AVERAGE(M2:M6)</f>
        <v>41.96</v>
      </c>
    </row>
    <row r="8" spans="1:13" x14ac:dyDescent="0.2">
      <c r="A8">
        <v>210</v>
      </c>
      <c r="B8" s="1">
        <f t="shared" si="0"/>
        <v>7.2727272727272738E-2</v>
      </c>
      <c r="C8">
        <v>0</v>
      </c>
      <c r="D8">
        <v>0</v>
      </c>
      <c r="E8">
        <v>2</v>
      </c>
      <c r="F8">
        <v>2</v>
      </c>
      <c r="G8">
        <v>0</v>
      </c>
    </row>
    <row r="9" spans="1:13" x14ac:dyDescent="0.2">
      <c r="A9">
        <v>240</v>
      </c>
      <c r="B9" s="1">
        <f t="shared" si="0"/>
        <v>9.0909090909090912E-2</v>
      </c>
      <c r="C9">
        <v>0</v>
      </c>
      <c r="D9">
        <v>0</v>
      </c>
      <c r="E9">
        <v>2</v>
      </c>
      <c r="F9">
        <v>3</v>
      </c>
      <c r="G9">
        <v>0</v>
      </c>
    </row>
    <row r="10" spans="1:13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2</v>
      </c>
      <c r="F10">
        <v>3</v>
      </c>
      <c r="G10">
        <v>0</v>
      </c>
    </row>
    <row r="11" spans="1:13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2</v>
      </c>
      <c r="F11">
        <v>3</v>
      </c>
      <c r="G11">
        <v>0</v>
      </c>
    </row>
    <row r="12" spans="1:13" x14ac:dyDescent="0.2">
      <c r="A12">
        <v>330</v>
      </c>
    </row>
    <row r="13" spans="1:13" x14ac:dyDescent="0.2">
      <c r="A13">
        <v>360</v>
      </c>
    </row>
    <row r="14" spans="1:13" x14ac:dyDescent="0.2">
      <c r="A14">
        <v>390</v>
      </c>
    </row>
    <row r="15" spans="1:13" x14ac:dyDescent="0.2">
      <c r="A15">
        <v>420</v>
      </c>
    </row>
    <row r="16" spans="1:13" x14ac:dyDescent="0.2">
      <c r="A16">
        <v>450</v>
      </c>
    </row>
    <row r="17" spans="1:1" x14ac:dyDescent="0.2">
      <c r="A17">
        <v>480</v>
      </c>
    </row>
    <row r="18" spans="1:1" x14ac:dyDescent="0.2">
      <c r="A18">
        <v>510</v>
      </c>
    </row>
    <row r="19" spans="1:1" x14ac:dyDescent="0.2">
      <c r="A19">
        <v>540</v>
      </c>
    </row>
    <row r="20" spans="1:1" x14ac:dyDescent="0.2">
      <c r="A20">
        <v>570</v>
      </c>
    </row>
    <row r="21" spans="1:1" x14ac:dyDescent="0.2">
      <c r="A21">
        <v>600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B11"/>
  <sheetViews>
    <sheetView workbookViewId="0">
      <selection sqref="A1:B11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7/19</f>
        <v>0.36842105263157893</v>
      </c>
    </row>
    <row r="3" spans="1:2" x14ac:dyDescent="0.2">
      <c r="A3">
        <v>60</v>
      </c>
      <c r="B3" s="1">
        <f>9/19</f>
        <v>0.47368421052631576</v>
      </c>
    </row>
    <row r="4" spans="1:2" x14ac:dyDescent="0.2">
      <c r="A4">
        <v>90</v>
      </c>
      <c r="B4" s="1">
        <f>14/19</f>
        <v>0.73684210526315785</v>
      </c>
    </row>
    <row r="5" spans="1:2" x14ac:dyDescent="0.2">
      <c r="A5">
        <v>120</v>
      </c>
      <c r="B5" s="1">
        <f>16/19</f>
        <v>0.84210526315789469</v>
      </c>
    </row>
    <row r="6" spans="1:2" x14ac:dyDescent="0.2">
      <c r="A6">
        <v>150</v>
      </c>
      <c r="B6" s="1">
        <f t="shared" ref="B6:B11" si="0">16/19</f>
        <v>0.84210526315789469</v>
      </c>
    </row>
    <row r="7" spans="1:2" x14ac:dyDescent="0.2">
      <c r="A7">
        <v>180</v>
      </c>
      <c r="B7" s="1">
        <f t="shared" si="0"/>
        <v>0.84210526315789469</v>
      </c>
    </row>
    <row r="8" spans="1:2" x14ac:dyDescent="0.2">
      <c r="A8">
        <v>210</v>
      </c>
      <c r="B8" s="1">
        <f t="shared" si="0"/>
        <v>0.84210526315789469</v>
      </c>
    </row>
    <row r="9" spans="1:2" x14ac:dyDescent="0.2">
      <c r="A9">
        <v>240</v>
      </c>
      <c r="B9" s="1">
        <f t="shared" si="0"/>
        <v>0.84210526315789469</v>
      </c>
    </row>
    <row r="10" spans="1:2" x14ac:dyDescent="0.2">
      <c r="A10">
        <v>270</v>
      </c>
      <c r="B10" s="1">
        <f t="shared" si="0"/>
        <v>0.84210526315789469</v>
      </c>
    </row>
    <row r="11" spans="1:2" x14ac:dyDescent="0.2">
      <c r="A11">
        <v>300</v>
      </c>
      <c r="B11" s="1">
        <f t="shared" si="0"/>
        <v>0.84210526315789469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G11"/>
  <sheetViews>
    <sheetView workbookViewId="0">
      <selection sqref="A1:G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0</v>
      </c>
      <c r="F3">
        <v>0</v>
      </c>
      <c r="G3">
        <v>1</v>
      </c>
    </row>
    <row r="4" spans="1:7" x14ac:dyDescent="0.2">
      <c r="A4">
        <v>90</v>
      </c>
      <c r="B4" s="1">
        <f t="shared" si="0"/>
        <v>1.8181818181818184E-2</v>
      </c>
      <c r="C4">
        <v>0</v>
      </c>
      <c r="D4">
        <v>0</v>
      </c>
      <c r="E4">
        <v>0</v>
      </c>
      <c r="F4">
        <v>0</v>
      </c>
      <c r="G4">
        <v>1</v>
      </c>
    </row>
    <row r="5" spans="1:7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0</v>
      </c>
      <c r="G6">
        <v>1</v>
      </c>
    </row>
    <row r="7" spans="1:7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0</v>
      </c>
      <c r="G7">
        <v>1</v>
      </c>
    </row>
    <row r="8" spans="1:7" x14ac:dyDescent="0.2">
      <c r="A8">
        <v>210</v>
      </c>
      <c r="B8" s="1">
        <f t="shared" si="0"/>
        <v>5.4545454545454543E-2</v>
      </c>
      <c r="C8">
        <v>0</v>
      </c>
      <c r="D8">
        <v>0</v>
      </c>
      <c r="E8">
        <v>2</v>
      </c>
      <c r="F8">
        <v>0</v>
      </c>
      <c r="G8">
        <v>1</v>
      </c>
    </row>
    <row r="9" spans="1:7" x14ac:dyDescent="0.2">
      <c r="A9">
        <v>240</v>
      </c>
      <c r="B9" s="1">
        <f t="shared" si="0"/>
        <v>5.4545454545454543E-2</v>
      </c>
      <c r="C9">
        <v>0</v>
      </c>
      <c r="D9">
        <v>0</v>
      </c>
      <c r="E9">
        <v>2</v>
      </c>
      <c r="F9">
        <v>0</v>
      </c>
      <c r="G9">
        <v>1</v>
      </c>
    </row>
    <row r="10" spans="1:7" x14ac:dyDescent="0.2">
      <c r="A10">
        <v>270</v>
      </c>
      <c r="B10" s="1">
        <f t="shared" si="0"/>
        <v>5.4545454545454543E-2</v>
      </c>
      <c r="C10">
        <v>0</v>
      </c>
      <c r="D10">
        <v>0</v>
      </c>
      <c r="E10">
        <v>2</v>
      </c>
      <c r="F10">
        <v>0</v>
      </c>
      <c r="G10">
        <v>1</v>
      </c>
    </row>
    <row r="11" spans="1:7" x14ac:dyDescent="0.2">
      <c r="A11">
        <v>300</v>
      </c>
      <c r="B11" s="1">
        <f t="shared" si="0"/>
        <v>5.4545454545454543E-2</v>
      </c>
      <c r="C11">
        <v>0</v>
      </c>
      <c r="D11">
        <v>0</v>
      </c>
      <c r="E11">
        <v>2</v>
      </c>
      <c r="F11">
        <v>0</v>
      </c>
      <c r="G11"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A1AD-33CF-4340-A536-B015D8DA4726}">
  <dimension ref="A1:B11"/>
  <sheetViews>
    <sheetView workbookViewId="0">
      <selection activeCell="H8" sqref="H8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3/32</f>
        <v>9.375E-2</v>
      </c>
    </row>
    <row r="3" spans="1:2" x14ac:dyDescent="0.2">
      <c r="A3">
        <v>60</v>
      </c>
      <c r="B3" s="1">
        <f>6/32</f>
        <v>0.1875</v>
      </c>
    </row>
    <row r="4" spans="1:2" x14ac:dyDescent="0.2">
      <c r="A4">
        <v>90</v>
      </c>
      <c r="B4" s="1">
        <f>11/32</f>
        <v>0.34375</v>
      </c>
    </row>
    <row r="5" spans="1:2" x14ac:dyDescent="0.2">
      <c r="A5">
        <v>120</v>
      </c>
      <c r="B5" s="1">
        <f>15/32</f>
        <v>0.46875</v>
      </c>
    </row>
    <row r="6" spans="1:2" x14ac:dyDescent="0.2">
      <c r="A6">
        <v>150</v>
      </c>
      <c r="B6" s="1">
        <f>19/32</f>
        <v>0.59375</v>
      </c>
    </row>
    <row r="7" spans="1:2" x14ac:dyDescent="0.2">
      <c r="A7">
        <v>180</v>
      </c>
      <c r="B7" s="1">
        <f>23/32</f>
        <v>0.71875</v>
      </c>
    </row>
    <row r="8" spans="1:2" x14ac:dyDescent="0.2">
      <c r="A8">
        <v>210</v>
      </c>
      <c r="B8" s="1">
        <f>27/32</f>
        <v>0.84375</v>
      </c>
    </row>
    <row r="9" spans="1:2" x14ac:dyDescent="0.2">
      <c r="A9">
        <v>240</v>
      </c>
      <c r="B9" s="1">
        <f>29/32</f>
        <v>0.90625</v>
      </c>
    </row>
    <row r="10" spans="1:2" x14ac:dyDescent="0.2">
      <c r="A10">
        <v>270</v>
      </c>
      <c r="B10" s="1">
        <f t="shared" ref="B10:B11" si="0">29/32</f>
        <v>0.90625</v>
      </c>
    </row>
    <row r="11" spans="1:2" x14ac:dyDescent="0.2">
      <c r="A11">
        <v>300</v>
      </c>
      <c r="B11" s="1">
        <f t="shared" si="0"/>
        <v>0.90625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CA9D-08E8-E74D-9EAB-753CF0FAFD9E}">
  <dimension ref="A1:G11"/>
  <sheetViews>
    <sheetView workbookViewId="0">
      <selection activeCell="A2" sqref="A2:A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3.6363636363636369E-2</v>
      </c>
      <c r="C2">
        <v>0</v>
      </c>
      <c r="D2">
        <v>0</v>
      </c>
      <c r="E2">
        <v>1</v>
      </c>
      <c r="F2">
        <v>0</v>
      </c>
      <c r="G2">
        <v>1</v>
      </c>
    </row>
    <row r="3" spans="1:7" x14ac:dyDescent="0.2">
      <c r="A3">
        <v>60</v>
      </c>
      <c r="B3" s="1">
        <f t="shared" ref="B3:B11" si="0">SUM(C3:G3)/5/11</f>
        <v>5.4545454545454543E-2</v>
      </c>
      <c r="C3">
        <v>0</v>
      </c>
      <c r="D3">
        <v>1</v>
      </c>
      <c r="E3">
        <v>1</v>
      </c>
      <c r="F3">
        <v>0</v>
      </c>
      <c r="G3">
        <v>1</v>
      </c>
    </row>
    <row r="4" spans="1:7" x14ac:dyDescent="0.2">
      <c r="A4">
        <v>90</v>
      </c>
      <c r="B4" s="1">
        <f t="shared" si="0"/>
        <v>5.4545454545454543E-2</v>
      </c>
      <c r="C4">
        <v>0</v>
      </c>
      <c r="D4">
        <v>1</v>
      </c>
      <c r="E4">
        <v>1</v>
      </c>
      <c r="F4">
        <v>0</v>
      </c>
      <c r="G4">
        <v>1</v>
      </c>
    </row>
    <row r="5" spans="1:7" x14ac:dyDescent="0.2">
      <c r="A5">
        <v>120</v>
      </c>
      <c r="B5" s="1">
        <f t="shared" si="0"/>
        <v>5.4545454545454543E-2</v>
      </c>
      <c r="C5">
        <v>0</v>
      </c>
      <c r="D5">
        <v>1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7.2727272727272738E-2</v>
      </c>
      <c r="C6">
        <v>0</v>
      </c>
      <c r="D6">
        <v>1</v>
      </c>
      <c r="E6">
        <v>1</v>
      </c>
      <c r="F6">
        <v>0</v>
      </c>
      <c r="G6">
        <v>2</v>
      </c>
    </row>
    <row r="7" spans="1:7" x14ac:dyDescent="0.2">
      <c r="A7">
        <v>180</v>
      </c>
      <c r="B7" s="1">
        <f t="shared" si="0"/>
        <v>9.0909090909090912E-2</v>
      </c>
      <c r="C7">
        <v>0</v>
      </c>
      <c r="D7">
        <v>1</v>
      </c>
      <c r="E7">
        <v>1</v>
      </c>
      <c r="F7">
        <v>1</v>
      </c>
      <c r="G7">
        <v>2</v>
      </c>
    </row>
    <row r="8" spans="1:7" x14ac:dyDescent="0.2">
      <c r="A8">
        <v>210</v>
      </c>
      <c r="B8" s="1">
        <f t="shared" si="0"/>
        <v>9.0909090909090912E-2</v>
      </c>
      <c r="C8">
        <v>0</v>
      </c>
      <c r="D8">
        <v>1</v>
      </c>
      <c r="E8">
        <v>1</v>
      </c>
      <c r="F8">
        <v>1</v>
      </c>
      <c r="G8">
        <v>2</v>
      </c>
    </row>
    <row r="9" spans="1:7" x14ac:dyDescent="0.2">
      <c r="A9">
        <v>240</v>
      </c>
      <c r="B9" s="1">
        <f t="shared" si="0"/>
        <v>0.10909090909090909</v>
      </c>
      <c r="C9">
        <v>0</v>
      </c>
      <c r="D9">
        <v>1</v>
      </c>
      <c r="E9">
        <v>1</v>
      </c>
      <c r="F9">
        <v>1</v>
      </c>
      <c r="G9">
        <v>3</v>
      </c>
    </row>
    <row r="10" spans="1:7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1</v>
      </c>
      <c r="F10">
        <v>1</v>
      </c>
      <c r="G10">
        <v>3</v>
      </c>
    </row>
    <row r="11" spans="1:7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1</v>
      </c>
      <c r="F11">
        <v>1</v>
      </c>
      <c r="G1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VR Template-InteractoBot</vt:lpstr>
      <vt:lpstr>VR Template-Random</vt:lpstr>
      <vt:lpstr>XRI Assets-InteractoBot</vt:lpstr>
      <vt:lpstr>XRI Assets-Random</vt:lpstr>
      <vt:lpstr>EscapeProto-InteractoBot</vt:lpstr>
      <vt:lpstr>EscapeProto-Random</vt:lpstr>
      <vt:lpstr>GameJam-InteractoBot</vt:lpstr>
      <vt:lpstr>GameJam-Random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2025-05-15T13:26:51Z</dcterms:modified>
</cp:coreProperties>
</file>