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0AC9888E-DFF0-C749-94AE-0879CDB1E2EF}" xr6:coauthVersionLast="47" xr6:coauthVersionMax="47" xr10:uidLastSave="{00000000-0000-0000-0000-000000000000}"/>
  <bookViews>
    <workbookView xWindow="0" yWindow="760" windowWidth="30240" windowHeight="17140" activeTab="3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EscapeRoom-InteractoBot" sheetId="9" r:id="rId7"/>
    <sheet name="EscapeRoom-Random" sheetId="10" r:id="rId8"/>
    <sheet name="GameJam-InteractoBot" sheetId="7" r:id="rId9"/>
    <sheet name="GameJam-Random" sheetId="8" r:id="rId10"/>
    <sheet name="XRI Kit-InteractoBot" sheetId="11" r:id="rId11"/>
    <sheet name="XRI Kit-Random" sheetId="12" r:id="rId12"/>
    <sheet name="XRI Examples-InteractoBot" sheetId="13" r:id="rId13"/>
    <sheet name="XRI Examples-Random" sheetId="14" r:id="rId14"/>
    <sheet name="Average-InteractoBot" sheetId="15" r:id="rId15"/>
    <sheet name="Average-Random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" l="1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B14" i="2" s="1"/>
  <c r="D15" i="2"/>
  <c r="B15" i="2" s="1"/>
  <c r="D16" i="2"/>
  <c r="D17" i="2"/>
  <c r="B17" i="2" s="1"/>
  <c r="D18" i="2"/>
  <c r="B18" i="2" s="1"/>
  <c r="D19" i="2"/>
  <c r="B19" i="2" s="1"/>
  <c r="D20" i="2"/>
  <c r="B20" i="2" s="1"/>
  <c r="D21" i="2"/>
  <c r="B21" i="2" s="1"/>
  <c r="D5" i="2"/>
  <c r="D4" i="2"/>
  <c r="D3" i="2"/>
  <c r="D2" i="2"/>
  <c r="C4" i="2"/>
  <c r="C3" i="2"/>
  <c r="C2" i="2"/>
  <c r="E2" i="15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B6" i="15"/>
  <c r="B7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G21" i="13"/>
  <c r="G20" i="13"/>
  <c r="G19" i="13"/>
  <c r="G18" i="13"/>
  <c r="G17" i="13"/>
  <c r="G16" i="13"/>
  <c r="G15" i="13"/>
  <c r="B15" i="13" s="1"/>
  <c r="G14" i="13"/>
  <c r="G13" i="13"/>
  <c r="B13" i="13" s="1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C20" i="13"/>
  <c r="C21" i="13"/>
  <c r="B21" i="13" s="1"/>
  <c r="C9" i="13"/>
  <c r="C8" i="13"/>
  <c r="C7" i="13"/>
  <c r="C6" i="13"/>
  <c r="C5" i="13"/>
  <c r="C4" i="13"/>
  <c r="C3" i="13"/>
  <c r="C2" i="13"/>
  <c r="B20" i="13"/>
  <c r="B19" i="13"/>
  <c r="B18" i="13"/>
  <c r="B8" i="13"/>
  <c r="B8" i="15" s="1"/>
  <c r="M7" i="13"/>
  <c r="B7" i="13"/>
  <c r="B6" i="13"/>
  <c r="B5" i="13"/>
  <c r="B5" i="15" s="1"/>
  <c r="B4" i="13"/>
  <c r="B4" i="15" s="1"/>
  <c r="B3" i="13"/>
  <c r="B3" i="15" s="1"/>
  <c r="B2" i="13"/>
  <c r="B2" i="15" s="1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C13" i="11"/>
  <c r="C14" i="11"/>
  <c r="C15" i="11"/>
  <c r="C16" i="11"/>
  <c r="C17" i="11"/>
  <c r="B17" i="11" s="1"/>
  <c r="C18" i="11"/>
  <c r="C19" i="11"/>
  <c r="C20" i="11"/>
  <c r="B20" i="11" s="1"/>
  <c r="C21" i="11"/>
  <c r="B21" i="11" s="1"/>
  <c r="C6" i="11"/>
  <c r="C5" i="11"/>
  <c r="C4" i="11"/>
  <c r="C3" i="11"/>
  <c r="C2" i="11"/>
  <c r="B19" i="11"/>
  <c r="B18" i="11"/>
  <c r="B16" i="11"/>
  <c r="B12" i="11"/>
  <c r="B11" i="11"/>
  <c r="M7" i="11"/>
  <c r="B5" i="11"/>
  <c r="B4" i="11"/>
  <c r="B3" i="11"/>
  <c r="B2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D3" i="7"/>
  <c r="D2" i="7"/>
  <c r="C4" i="7"/>
  <c r="C3" i="7"/>
  <c r="C2" i="7"/>
  <c r="B19" i="7"/>
  <c r="M7" i="7"/>
  <c r="B4" i="7"/>
  <c r="B3" i="7"/>
  <c r="B2" i="7"/>
  <c r="G17" i="9"/>
  <c r="G18" i="9"/>
  <c r="G19" i="9"/>
  <c r="G20" i="9"/>
  <c r="G21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C21" i="9"/>
  <c r="C19" i="9"/>
  <c r="C17" i="9"/>
  <c r="C18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F21" i="9"/>
  <c r="B21" i="9"/>
  <c r="F20" i="9"/>
  <c r="B20" i="9"/>
  <c r="F19" i="9"/>
  <c r="B19" i="9"/>
  <c r="F18" i="9"/>
  <c r="B18" i="9" s="1"/>
  <c r="F17" i="9"/>
  <c r="B17" i="9"/>
  <c r="B16" i="9"/>
  <c r="B15" i="9"/>
  <c r="B14" i="9"/>
  <c r="B13" i="9"/>
  <c r="B12" i="9"/>
  <c r="B11" i="9"/>
  <c r="B10" i="9"/>
  <c r="B9" i="9"/>
  <c r="B8" i="9"/>
  <c r="M7" i="9"/>
  <c r="B7" i="9"/>
  <c r="B6" i="9"/>
  <c r="B5" i="9"/>
  <c r="B4" i="9"/>
  <c r="B3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B8" i="5" s="1"/>
  <c r="G7" i="5"/>
  <c r="B7" i="5" s="1"/>
  <c r="G6" i="5"/>
  <c r="B6" i="5" s="1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B3" i="5" s="1"/>
  <c r="F2" i="5"/>
  <c r="B2" i="5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B15" i="5" s="1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B13" i="5" s="1"/>
  <c r="C14" i="5"/>
  <c r="C15" i="5"/>
  <c r="C16" i="5"/>
  <c r="B16" i="5" s="1"/>
  <c r="C17" i="5"/>
  <c r="B17" i="5" s="1"/>
  <c r="C18" i="5"/>
  <c r="C19" i="5"/>
  <c r="B19" i="5" s="1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M7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B21" i="3" s="1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B7" i="3" s="1"/>
  <c r="E6" i="3"/>
  <c r="B6" i="3" s="1"/>
  <c r="E5" i="3"/>
  <c r="B5" i="3" s="1"/>
  <c r="E4" i="3"/>
  <c r="B4" i="3" s="1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B19" i="3" s="1"/>
  <c r="C20" i="3"/>
  <c r="C21" i="3"/>
  <c r="C3" i="3"/>
  <c r="M7" i="3"/>
  <c r="M7" i="1"/>
  <c r="B11" i="2"/>
  <c r="B10" i="2"/>
  <c r="B9" i="2"/>
  <c r="B8" i="2"/>
  <c r="B7" i="2"/>
  <c r="B6" i="2"/>
  <c r="B5" i="2"/>
  <c r="B4" i="2"/>
  <c r="B3" i="2"/>
  <c r="G4" i="1"/>
  <c r="G5" i="1"/>
  <c r="G6" i="1"/>
  <c r="G7" i="1"/>
  <c r="G8" i="1"/>
  <c r="G9" i="1"/>
  <c r="G10" i="1"/>
  <c r="G11" i="1"/>
  <c r="G12" i="1"/>
  <c r="G13" i="1"/>
  <c r="B13" i="1" s="1"/>
  <c r="G14" i="1"/>
  <c r="G15" i="1"/>
  <c r="G16" i="1"/>
  <c r="G17" i="1"/>
  <c r="G18" i="1"/>
  <c r="G19" i="1"/>
  <c r="G20" i="1"/>
  <c r="G21" i="1"/>
  <c r="G3" i="1"/>
  <c r="B9" i="1"/>
  <c r="B12" i="1"/>
  <c r="B1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B3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  <c r="D4" i="1"/>
  <c r="B4" i="1" s="1"/>
  <c r="D5" i="1"/>
  <c r="B5" i="1" s="1"/>
  <c r="D6" i="1"/>
  <c r="B6" i="1" s="1"/>
  <c r="D7" i="1"/>
  <c r="B7" i="1" s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B21" i="1" s="1"/>
  <c r="C20" i="1"/>
  <c r="B20" i="1" s="1"/>
  <c r="C19" i="1"/>
  <c r="B19" i="1" s="1"/>
  <c r="C18" i="1"/>
  <c r="B18" i="1" s="1"/>
  <c r="C17" i="1"/>
  <c r="B17" i="1" s="1"/>
  <c r="C16" i="1"/>
  <c r="B16" i="1" s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11" i="8"/>
  <c r="B10" i="8"/>
  <c r="B9" i="8"/>
  <c r="B8" i="8"/>
  <c r="B7" i="8"/>
  <c r="B6" i="8"/>
  <c r="B5" i="8"/>
  <c r="B4" i="8"/>
  <c r="B3" i="8"/>
  <c r="B2" i="8"/>
  <c r="B11" i="6"/>
  <c r="B10" i="6"/>
  <c r="B9" i="6"/>
  <c r="B8" i="6"/>
  <c r="B7" i="6"/>
  <c r="B6" i="6"/>
  <c r="B5" i="6"/>
  <c r="B4" i="6"/>
  <c r="B3" i="6"/>
  <c r="B2" i="6"/>
  <c r="B11" i="4"/>
  <c r="B10" i="4"/>
  <c r="B9" i="4"/>
  <c r="B8" i="4"/>
  <c r="B7" i="4"/>
  <c r="B6" i="4"/>
  <c r="B5" i="4"/>
  <c r="B4" i="4"/>
  <c r="B3" i="4"/>
  <c r="B2" i="4"/>
  <c r="B16" i="2" l="1"/>
  <c r="B13" i="2"/>
  <c r="B12" i="2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10" i="5"/>
  <c r="B11" i="5"/>
  <c r="B21" i="5"/>
  <c r="B20" i="5"/>
  <c r="B14" i="5"/>
  <c r="B18" i="5"/>
  <c r="B14" i="3"/>
  <c r="B13" i="3"/>
  <c r="B16" i="3"/>
  <c r="B15" i="3"/>
  <c r="B10" i="3"/>
  <c r="B12" i="3"/>
  <c r="B9" i="3"/>
  <c r="B3" i="3"/>
  <c r="B11" i="1"/>
  <c r="B2" i="1"/>
  <c r="B10" i="1"/>
  <c r="B15" i="1"/>
  <c r="B8" i="1"/>
  <c r="B2" i="2"/>
</calcChain>
</file>

<file path=xl/sharedStrings.xml><?xml version="1.0" encoding="utf-8"?>
<sst xmlns="http://schemas.openxmlformats.org/spreadsheetml/2006/main" count="338" uniqueCount="54">
  <si>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</si>
  <si>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</si>
  <si>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</si>
  <si>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</si>
  <si>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</si>
  <si>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</si>
  <si>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</si>
  <si>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</si>
  <si>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</si>
  <si>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</si>
  <si>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</si>
  <si>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</si>
  <si>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</si>
  <si>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</si>
  <si>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</si>
  <si>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</si>
  <si>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</si>
  <si>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</si>
  <si>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</si>
  <si>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</si>
  <si>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</si>
  <si>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</si>
  <si>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</si>
  <si>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</si>
  <si>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</si>
  <si>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</si>
  <si>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</si>
  <si>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</si>
  <si>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</si>
  <si>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</si>
  <si>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</si>
  <si>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</si>
  <si>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</si>
  <si>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</si>
  <si>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</si>
  <si>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</si>
  <si>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</si>
  <si>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</si>
  <si>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</si>
  <si>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</si>
  <si>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</si>
  <si>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</si>
  <si>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</si>
  <si>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</si>
  <si>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</si>
  <si>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4/8</t>
  </si>
  <si>
    <t>4/9</t>
  </si>
  <si>
    <t>5/8</t>
  </si>
  <si>
    <t>5/9</t>
  </si>
  <si>
    <t>3/9</t>
  </si>
  <si>
    <t>2/8</t>
  </si>
  <si>
    <t>2/9</t>
  </si>
  <si>
    <t>3.6/8</t>
  </si>
  <si>
    <t>3.6/9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</si>
</sst>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sqref="A1:B21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zoomScale="159" workbookViewId="0">
      <selection activeCell="K15" sqref="K15"/>
    </sheetView>
  </sheetViews>
  <sheetFormatPr baseColWidth="10" defaultRowHeight="16" x14ac:dyDescent="0.2"/>
  <cols>
    <col min="2" max="7" width="10.83203125" style="1"/>
    <col min="9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2" t="s">
        <v>7</v>
      </c>
      <c r="K1" s="2" t="s">
        <v>8</v>
      </c>
      <c r="L1" s="2" t="s">
        <v>9</v>
      </c>
      <c r="M1" s="2"/>
      <c r="N1" s="2"/>
    </row>
    <row r="2" spans="1:14" x14ac:dyDescent="0.2">
      <c r="A2">
        <v>30</v>
      </c>
      <c r="B2" s="1">
        <f>SUM(C2:G2)/5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I2" s="2" t="s">
        <v>2</v>
      </c>
      <c r="J2" s="2" t="s">
        <v>14</v>
      </c>
      <c r="K2" s="2" t="s">
        <v>50</v>
      </c>
      <c r="L2" s="2" t="s">
        <v>51</v>
      </c>
      <c r="M2" s="2"/>
      <c r="N2" s="2"/>
    </row>
    <row r="3" spans="1:14" x14ac:dyDescent="0.2">
      <c r="A3">
        <v>60</v>
      </c>
      <c r="B3" s="1">
        <f t="shared" ref="B3:B21" si="1">SUM(C3:G3)/5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2">2/9</f>
        <v>0.22222222222222221</v>
      </c>
      <c r="G3" s="1">
        <f t="shared" ref="G3:G21" si="3">3/9</f>
        <v>0.33333333333333331</v>
      </c>
      <c r="I3" s="2" t="s">
        <v>3</v>
      </c>
      <c r="J3" s="2" t="s">
        <v>14</v>
      </c>
      <c r="K3" s="2" t="s">
        <v>45</v>
      </c>
      <c r="L3" s="2" t="s">
        <v>46</v>
      </c>
      <c r="M3" s="2"/>
      <c r="N3" s="2"/>
    </row>
    <row r="4" spans="1:14" x14ac:dyDescent="0.2">
      <c r="A4">
        <v>90</v>
      </c>
      <c r="B4" s="1">
        <f t="shared" si="1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2"/>
        <v>0.22222222222222221</v>
      </c>
      <c r="G4" s="1">
        <f t="shared" si="3"/>
        <v>0.33333333333333331</v>
      </c>
      <c r="I4" s="2" t="s">
        <v>4</v>
      </c>
      <c r="J4" s="2" t="s">
        <v>14</v>
      </c>
      <c r="K4" s="2" t="s">
        <v>45</v>
      </c>
      <c r="L4" s="2" t="s">
        <v>46</v>
      </c>
      <c r="M4" s="2"/>
      <c r="N4" s="2"/>
    </row>
    <row r="5" spans="1:14" x14ac:dyDescent="0.2">
      <c r="A5">
        <v>120</v>
      </c>
      <c r="B5" s="1">
        <f t="shared" si="1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2"/>
        <v>0.22222222222222221</v>
      </c>
      <c r="G5" s="1">
        <f t="shared" si="3"/>
        <v>0.33333333333333331</v>
      </c>
      <c r="I5" s="2" t="s">
        <v>5</v>
      </c>
      <c r="J5" s="2" t="s">
        <v>14</v>
      </c>
      <c r="K5" s="2" t="s">
        <v>47</v>
      </c>
      <c r="L5" s="2" t="s">
        <v>48</v>
      </c>
      <c r="M5" s="2"/>
      <c r="N5" s="2"/>
    </row>
    <row r="6" spans="1:14" x14ac:dyDescent="0.2">
      <c r="A6">
        <v>150</v>
      </c>
      <c r="B6" s="1">
        <f t="shared" si="1"/>
        <v>0.24444444444444446</v>
      </c>
      <c r="C6" s="1">
        <f>1/9</f>
        <v>0.1111111111111111</v>
      </c>
      <c r="D6" s="1">
        <f t="shared" ref="D6:F21" si="4">4/9</f>
        <v>0.44444444444444442</v>
      </c>
      <c r="E6" s="1">
        <f>1/9</f>
        <v>0.1111111111111111</v>
      </c>
      <c r="F6" s="1">
        <f t="shared" si="2"/>
        <v>0.22222222222222221</v>
      </c>
      <c r="G6" s="1">
        <f t="shared" si="3"/>
        <v>0.33333333333333331</v>
      </c>
      <c r="I6" s="2" t="s">
        <v>6</v>
      </c>
      <c r="J6" s="2" t="s">
        <v>14</v>
      </c>
      <c r="K6" s="2" t="s">
        <v>44</v>
      </c>
      <c r="L6" s="2" t="s">
        <v>49</v>
      </c>
      <c r="M6" s="2"/>
      <c r="N6" s="2"/>
    </row>
    <row r="7" spans="1:14" x14ac:dyDescent="0.2">
      <c r="A7">
        <v>180</v>
      </c>
      <c r="B7" s="1">
        <f t="shared" si="1"/>
        <v>0.26666666666666666</v>
      </c>
      <c r="C7" s="1">
        <f t="shared" ref="C7:C21" si="5">2/9</f>
        <v>0.22222222222222221</v>
      </c>
      <c r="D7" s="1">
        <f t="shared" si="4"/>
        <v>0.44444444444444442</v>
      </c>
      <c r="E7" s="1">
        <f>1/9</f>
        <v>0.1111111111111111</v>
      </c>
      <c r="F7" s="1">
        <f t="shared" si="2"/>
        <v>0.22222222222222221</v>
      </c>
      <c r="G7" s="1">
        <f t="shared" si="3"/>
        <v>0.33333333333333331</v>
      </c>
      <c r="I7" s="2" t="s">
        <v>13</v>
      </c>
      <c r="J7" s="2" t="s">
        <v>14</v>
      </c>
      <c r="K7" s="2" t="s">
        <v>52</v>
      </c>
      <c r="L7" s="2" t="s">
        <v>53</v>
      </c>
      <c r="M7" s="2"/>
      <c r="N7" s="2"/>
    </row>
    <row r="8" spans="1:14" x14ac:dyDescent="0.2">
      <c r="A8">
        <v>210</v>
      </c>
      <c r="B8" s="1">
        <f t="shared" si="1"/>
        <v>0.26666666666666666</v>
      </c>
      <c r="C8" s="1">
        <f t="shared" si="5"/>
        <v>0.22222222222222221</v>
      </c>
      <c r="D8" s="1">
        <f t="shared" si="4"/>
        <v>0.44444444444444442</v>
      </c>
      <c r="E8" s="1">
        <f>1/9</f>
        <v>0.1111111111111111</v>
      </c>
      <c r="F8" s="1">
        <f t="shared" si="2"/>
        <v>0.22222222222222221</v>
      </c>
      <c r="G8" s="1">
        <f t="shared" si="3"/>
        <v>0.33333333333333331</v>
      </c>
    </row>
    <row r="9" spans="1:14" x14ac:dyDescent="0.2">
      <c r="A9">
        <v>240</v>
      </c>
      <c r="B9" s="1">
        <f t="shared" si="1"/>
        <v>0.31111111111111106</v>
      </c>
      <c r="C9" s="1">
        <f t="shared" si="5"/>
        <v>0.22222222222222221</v>
      </c>
      <c r="D9" s="1">
        <f t="shared" si="4"/>
        <v>0.44444444444444442</v>
      </c>
      <c r="E9" s="1">
        <f>2/9</f>
        <v>0.22222222222222221</v>
      </c>
      <c r="F9" s="1">
        <f t="shared" ref="F9:F14" si="6">3/9</f>
        <v>0.33333333333333331</v>
      </c>
      <c r="G9" s="1">
        <f t="shared" si="3"/>
        <v>0.33333333333333331</v>
      </c>
    </row>
    <row r="10" spans="1:14" x14ac:dyDescent="0.2">
      <c r="A10">
        <v>270</v>
      </c>
      <c r="B10" s="1">
        <f t="shared" si="1"/>
        <v>0.31111111111111106</v>
      </c>
      <c r="C10" s="1">
        <f t="shared" si="5"/>
        <v>0.22222222222222221</v>
      </c>
      <c r="D10" s="1">
        <f t="shared" si="4"/>
        <v>0.44444444444444442</v>
      </c>
      <c r="E10" s="1">
        <f>2/9</f>
        <v>0.22222222222222221</v>
      </c>
      <c r="F10" s="1">
        <f t="shared" si="6"/>
        <v>0.33333333333333331</v>
      </c>
      <c r="G10" s="1">
        <f t="shared" si="3"/>
        <v>0.33333333333333331</v>
      </c>
    </row>
    <row r="11" spans="1:14" x14ac:dyDescent="0.2">
      <c r="A11">
        <v>300</v>
      </c>
      <c r="B11" s="1">
        <f t="shared" si="1"/>
        <v>0.33333333333333331</v>
      </c>
      <c r="C11" s="1">
        <f t="shared" si="5"/>
        <v>0.22222222222222221</v>
      </c>
      <c r="D11" s="1">
        <f t="shared" si="4"/>
        <v>0.44444444444444442</v>
      </c>
      <c r="E11" s="1">
        <f>3/9</f>
        <v>0.33333333333333331</v>
      </c>
      <c r="F11" s="1">
        <f t="shared" si="6"/>
        <v>0.33333333333333331</v>
      </c>
      <c r="G11" s="1">
        <f t="shared" si="3"/>
        <v>0.33333333333333331</v>
      </c>
    </row>
    <row r="12" spans="1:14" x14ac:dyDescent="0.2">
      <c r="A12">
        <v>330</v>
      </c>
      <c r="B12" s="1">
        <f t="shared" si="1"/>
        <v>0.35555555555555551</v>
      </c>
      <c r="C12" s="1">
        <f t="shared" si="5"/>
        <v>0.22222222222222221</v>
      </c>
      <c r="D12" s="1">
        <f t="shared" si="4"/>
        <v>0.44444444444444442</v>
      </c>
      <c r="E12" s="1">
        <f t="shared" si="4"/>
        <v>0.44444444444444442</v>
      </c>
      <c r="F12" s="1">
        <f t="shared" si="6"/>
        <v>0.33333333333333331</v>
      </c>
      <c r="G12" s="1">
        <f t="shared" si="3"/>
        <v>0.33333333333333331</v>
      </c>
    </row>
    <row r="13" spans="1:14" x14ac:dyDescent="0.2">
      <c r="A13">
        <v>360</v>
      </c>
      <c r="B13" s="1">
        <f t="shared" si="1"/>
        <v>0.35555555555555551</v>
      </c>
      <c r="C13" s="1">
        <f t="shared" si="5"/>
        <v>0.22222222222222221</v>
      </c>
      <c r="D13" s="1">
        <f t="shared" si="4"/>
        <v>0.44444444444444442</v>
      </c>
      <c r="E13" s="1">
        <f t="shared" si="4"/>
        <v>0.44444444444444442</v>
      </c>
      <c r="F13" s="1">
        <f t="shared" si="6"/>
        <v>0.33333333333333331</v>
      </c>
      <c r="G13" s="1">
        <f t="shared" si="3"/>
        <v>0.33333333333333331</v>
      </c>
    </row>
    <row r="14" spans="1:14" x14ac:dyDescent="0.2">
      <c r="A14">
        <v>390</v>
      </c>
      <c r="B14" s="1">
        <f t="shared" si="1"/>
        <v>0.35555555555555551</v>
      </c>
      <c r="C14" s="1">
        <f t="shared" si="5"/>
        <v>0.22222222222222221</v>
      </c>
      <c r="D14" s="1">
        <f t="shared" si="4"/>
        <v>0.44444444444444442</v>
      </c>
      <c r="E14" s="1">
        <f t="shared" si="4"/>
        <v>0.44444444444444442</v>
      </c>
      <c r="F14" s="1">
        <f t="shared" si="6"/>
        <v>0.33333333333333331</v>
      </c>
      <c r="G14" s="1">
        <f t="shared" si="3"/>
        <v>0.33333333333333331</v>
      </c>
    </row>
    <row r="15" spans="1:14" x14ac:dyDescent="0.2">
      <c r="A15">
        <v>420</v>
      </c>
      <c r="B15" s="1">
        <f t="shared" si="1"/>
        <v>0.37777777777777777</v>
      </c>
      <c r="C15" s="1">
        <f t="shared" si="5"/>
        <v>0.22222222222222221</v>
      </c>
      <c r="D15" s="1">
        <f t="shared" si="4"/>
        <v>0.44444444444444442</v>
      </c>
      <c r="E15" s="1">
        <f t="shared" si="4"/>
        <v>0.44444444444444442</v>
      </c>
      <c r="F15" s="1">
        <f t="shared" si="4"/>
        <v>0.44444444444444442</v>
      </c>
      <c r="G15" s="1">
        <f t="shared" si="3"/>
        <v>0.33333333333333331</v>
      </c>
    </row>
    <row r="16" spans="1:14" x14ac:dyDescent="0.2">
      <c r="A16">
        <v>450</v>
      </c>
      <c r="B16" s="1">
        <f t="shared" si="1"/>
        <v>0.37777777777777777</v>
      </c>
      <c r="C16" s="1">
        <f t="shared" si="5"/>
        <v>0.22222222222222221</v>
      </c>
      <c r="D16" s="1">
        <f t="shared" si="4"/>
        <v>0.44444444444444442</v>
      </c>
      <c r="E16" s="1">
        <f t="shared" si="4"/>
        <v>0.44444444444444442</v>
      </c>
      <c r="F16" s="1">
        <f t="shared" si="4"/>
        <v>0.44444444444444442</v>
      </c>
      <c r="G16" s="1">
        <f t="shared" si="3"/>
        <v>0.33333333333333331</v>
      </c>
    </row>
    <row r="17" spans="1:7" x14ac:dyDescent="0.2">
      <c r="A17">
        <v>480</v>
      </c>
      <c r="B17" s="1">
        <f t="shared" si="1"/>
        <v>0.37777777777777777</v>
      </c>
      <c r="C17" s="1">
        <f t="shared" si="5"/>
        <v>0.22222222222222221</v>
      </c>
      <c r="D17" s="1">
        <f t="shared" si="4"/>
        <v>0.44444444444444442</v>
      </c>
      <c r="E17" s="1">
        <f t="shared" si="4"/>
        <v>0.44444444444444442</v>
      </c>
      <c r="F17" s="1">
        <f t="shared" si="4"/>
        <v>0.44444444444444442</v>
      </c>
      <c r="G17" s="1">
        <f t="shared" si="3"/>
        <v>0.33333333333333331</v>
      </c>
    </row>
    <row r="18" spans="1:7" x14ac:dyDescent="0.2">
      <c r="A18">
        <v>510</v>
      </c>
      <c r="B18" s="1">
        <f t="shared" si="1"/>
        <v>0.37777777777777777</v>
      </c>
      <c r="C18" s="1">
        <f t="shared" si="5"/>
        <v>0.22222222222222221</v>
      </c>
      <c r="D18" s="1">
        <f t="shared" si="4"/>
        <v>0.44444444444444442</v>
      </c>
      <c r="E18" s="1">
        <f t="shared" si="4"/>
        <v>0.44444444444444442</v>
      </c>
      <c r="F18" s="1">
        <f t="shared" si="4"/>
        <v>0.44444444444444442</v>
      </c>
      <c r="G18" s="1">
        <f t="shared" si="3"/>
        <v>0.33333333333333331</v>
      </c>
    </row>
    <row r="19" spans="1:7" x14ac:dyDescent="0.2">
      <c r="A19">
        <v>540</v>
      </c>
      <c r="B19" s="1">
        <f t="shared" si="1"/>
        <v>0.37777777777777777</v>
      </c>
      <c r="C19" s="1">
        <f t="shared" si="5"/>
        <v>0.22222222222222221</v>
      </c>
      <c r="D19" s="1">
        <f t="shared" si="4"/>
        <v>0.44444444444444442</v>
      </c>
      <c r="E19" s="1">
        <f t="shared" si="4"/>
        <v>0.44444444444444442</v>
      </c>
      <c r="F19" s="1">
        <f t="shared" si="4"/>
        <v>0.44444444444444442</v>
      </c>
      <c r="G19" s="1">
        <f t="shared" si="3"/>
        <v>0.33333333333333331</v>
      </c>
    </row>
    <row r="20" spans="1:7" x14ac:dyDescent="0.2">
      <c r="A20">
        <v>570</v>
      </c>
      <c r="B20" s="1">
        <f t="shared" si="1"/>
        <v>0.37777777777777777</v>
      </c>
      <c r="C20" s="1">
        <f t="shared" si="5"/>
        <v>0.22222222222222221</v>
      </c>
      <c r="D20" s="1">
        <f t="shared" si="4"/>
        <v>0.44444444444444442</v>
      </c>
      <c r="E20" s="1">
        <f t="shared" si="4"/>
        <v>0.44444444444444442</v>
      </c>
      <c r="F20" s="1">
        <f t="shared" si="4"/>
        <v>0.44444444444444442</v>
      </c>
      <c r="G20" s="1">
        <f t="shared" si="3"/>
        <v>0.33333333333333331</v>
      </c>
    </row>
    <row r="21" spans="1:7" x14ac:dyDescent="0.2">
      <c r="A21">
        <v>600</v>
      </c>
      <c r="B21" s="1">
        <f t="shared" si="1"/>
        <v>0.4</v>
      </c>
      <c r="C21" s="1">
        <f t="shared" si="5"/>
        <v>0.22222222222222221</v>
      </c>
      <c r="D21" s="1">
        <f t="shared" si="4"/>
        <v>0.44444444444444442</v>
      </c>
      <c r="E21" s="1">
        <f t="shared" si="4"/>
        <v>0.44444444444444442</v>
      </c>
      <c r="F21" s="1">
        <f>5/9</f>
        <v>0.55555555555555558</v>
      </c>
      <c r="G21" s="1">
        <f t="shared" si="3"/>
        <v>0.33333333333333331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sqref="A1:M21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tabSelected="1" zoomScale="150" workbookViewId="0">
      <selection activeCell="G20" sqref="G20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37.1</v>
      </c>
    </row>
    <row r="3" spans="1:13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43.1</v>
      </c>
    </row>
    <row r="4" spans="1:13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53.7</v>
      </c>
    </row>
    <row r="5" spans="1:13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42.4</v>
      </c>
    </row>
    <row r="6" spans="1:13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33.5</v>
      </c>
    </row>
    <row r="7" spans="1:13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41.96</v>
      </c>
    </row>
    <row r="8" spans="1:13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13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13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13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  <row r="12" spans="1:13" x14ac:dyDescent="0.2">
      <c r="A12">
        <v>330</v>
      </c>
    </row>
    <row r="13" spans="1:13" x14ac:dyDescent="0.2">
      <c r="A13">
        <v>360</v>
      </c>
    </row>
    <row r="14" spans="1:13" x14ac:dyDescent="0.2">
      <c r="A14">
        <v>390</v>
      </c>
    </row>
    <row r="15" spans="1:13" x14ac:dyDescent="0.2">
      <c r="A15">
        <v>420</v>
      </c>
    </row>
    <row r="16" spans="1:13" x14ac:dyDescent="0.2">
      <c r="A16">
        <v>450</v>
      </c>
    </row>
    <row r="17" spans="1:1" x14ac:dyDescent="0.2">
      <c r="A17">
        <v>480</v>
      </c>
    </row>
    <row r="18" spans="1:1" x14ac:dyDescent="0.2">
      <c r="A18">
        <v>510</v>
      </c>
    </row>
    <row r="19" spans="1:1" x14ac:dyDescent="0.2">
      <c r="A19">
        <v>540</v>
      </c>
    </row>
    <row r="20" spans="1:1" x14ac:dyDescent="0.2">
      <c r="A20">
        <v>570</v>
      </c>
    </row>
    <row r="21" spans="1:1" x14ac:dyDescent="0.2">
      <c r="A21">
        <v>600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I18" sqref="A1:XFD1048576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L8" sqref="L8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activeCell="H4"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workbookViewId="0">
      <selection activeCell="A2" sqref="A2:A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activeCell="J13" sqref="A1:XFD1048576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activeCell="M7" sqref="M7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D8" sqref="D8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Template-InteractoBot'!B2, 'XRI Assets-InteractoBot'!B2, 'EscapeProto-InteractoBot'!B2, 'EscapeRoom-InteractoBot'!B2, 'GameJam-InteractoBot'!B2, 'XRI Kit-InteractoBot'!B2, 'XRI Examples-InteractoBot'!B2)</f>
        <v>0.43009606846725462</v>
      </c>
      <c r="D2" t="s">
        <v>43</v>
      </c>
      <c r="E2" s="1">
        <f>AVERAGE('VR Template-InteractoBot'!M7, 'XRI Assets-InteractoBot'!M7, 'EscapeProto-InteractoBot'!M7, 'EscapeRoom-InteractoBot'!M7, 'GameJam-InteractoBot'!M7, 'XRI Kit-InteractoBot'!M7, 'XRI Examples-InteractoBot'!M7)</f>
        <v>148.21142857142857</v>
      </c>
    </row>
    <row r="3" spans="1:5" x14ac:dyDescent="0.2">
      <c r="A3">
        <v>60</v>
      </c>
      <c r="B3" s="1">
        <f>AVERAGE('VR Template-InteractoBot'!B3, 'XRI Assets-InteractoBot'!B3, 'EscapeProto-InteractoBot'!B3, 'EscapeRoom-InteractoBot'!B3, 'GameJam-InteractoBot'!B3, 'XRI Kit-InteractoBot'!B3, 'XRI Examples-InteractoBot'!B3)</f>
        <v>0.65378651414207867</v>
      </c>
    </row>
    <row r="4" spans="1:5" x14ac:dyDescent="0.2">
      <c r="A4">
        <v>90</v>
      </c>
      <c r="B4" s="1">
        <f>AVERAGE('VR Template-InteractoBot'!B4, 'XRI Assets-InteractoBot'!B4, 'EscapeProto-InteractoBot'!B4, 'EscapeRoom-InteractoBot'!B4, 'GameJam-InteractoBot'!B4, 'XRI Kit-InteractoBot'!B4, 'XRI Examples-InteractoBot'!B4)</f>
        <v>0.73980481150027155</v>
      </c>
    </row>
    <row r="5" spans="1:5" x14ac:dyDescent="0.2">
      <c r="A5">
        <v>120</v>
      </c>
      <c r="B5" s="1">
        <f>AVERAGE('VR Template-InteractoBot'!B5, 'XRI Assets-InteractoBot'!B5, 'EscapeProto-InteractoBot'!B5, 'EscapeRoom-InteractoBot'!B5, 'GameJam-InteractoBot'!B5, 'XRI Kit-InteractoBot'!B5, 'XRI Examples-InteractoBot'!B5)</f>
        <v>0.80542121598770855</v>
      </c>
    </row>
    <row r="6" spans="1:5" x14ac:dyDescent="0.2">
      <c r="A6">
        <v>150</v>
      </c>
      <c r="B6" s="1">
        <f>AVERAGE('VR Template-InteractoBot'!B6, 'XRI Assets-InteractoBot'!B6, 'EscapeProto-InteractoBot'!B6, 'EscapeRoom-InteractoBot'!B6, 'GameJam-InteractoBot'!B6, 'XRI Kit-InteractoBot'!B6, 'XRI Examples-InteractoBot'!B6)</f>
        <v>0.85228875182671893</v>
      </c>
    </row>
    <row r="7" spans="1:5" x14ac:dyDescent="0.2">
      <c r="A7">
        <v>180</v>
      </c>
      <c r="B7" s="1">
        <f>AVERAGE('VR Template-InteractoBot'!B7, 'XRI Assets-InteractoBot'!B7, 'EscapeProto-InteractoBot'!B7, 'EscapeRoom-InteractoBot'!B7, 'GameJam-InteractoBot'!B7, 'XRI Kit-InteractoBot'!B7, 'XRI Examples-InteractoBot'!B7)</f>
        <v>0.87738312310429634</v>
      </c>
    </row>
    <row r="8" spans="1:5" x14ac:dyDescent="0.2">
      <c r="A8">
        <v>210</v>
      </c>
      <c r="B8" s="1">
        <f>AVERAGE('VR Template-InteractoBot'!B8, 'XRI Assets-InteractoBot'!B8, 'EscapeProto-InteractoBot'!B8, 'EscapeRoom-InteractoBot'!B8, 'GameJam-InteractoBot'!B8, 'XRI Kit-InteractoBot'!B8, 'XRI Examples-InteractoBot'!B8)</f>
        <v>0.90490178764586149</v>
      </c>
    </row>
    <row r="9" spans="1:5" x14ac:dyDescent="0.2">
      <c r="A9">
        <v>240</v>
      </c>
      <c r="B9" s="1">
        <f>AVERAGE('VR Template-InteractoBot'!B9, 'XRI Assets-InteractoBot'!B9, 'EscapeProto-InteractoBot'!B9, 'EscapeRoom-InteractoBot'!B9, 'GameJam-InteractoBot'!B9, 'XRI Kit-InteractoBot'!B9, 'XRI Examples-InteractoBot'!B9)</f>
        <v>0.92230385123113134</v>
      </c>
    </row>
    <row r="10" spans="1:5" x14ac:dyDescent="0.2">
      <c r="A10">
        <v>270</v>
      </c>
      <c r="B10" s="1">
        <f>AVERAGE('VR Template-InteractoBot'!B10, 'XRI Assets-InteractoBot'!B10, 'EscapeProto-InteractoBot'!B10, 'EscapeRoom-InteractoBot'!B10, 'GameJam-InteractoBot'!B10, 'XRI Kit-InteractoBot'!B10, 'XRI Examples-InteractoBot'!B10)</f>
        <v>0.93255466911553697</v>
      </c>
    </row>
    <row r="11" spans="1:5" x14ac:dyDescent="0.2">
      <c r="A11">
        <v>300</v>
      </c>
      <c r="B11" s="1">
        <f>AVERAGE('VR Template-InteractoBot'!B11, 'XRI Assets-InteractoBot'!B11, 'EscapeProto-InteractoBot'!B11, 'EscapeRoom-InteractoBot'!B11, 'GameJam-InteractoBot'!B11, 'XRI Kit-InteractoBot'!B11, 'XRI Examples-InteractoBot'!B11)</f>
        <v>0.94302358950812148</v>
      </c>
    </row>
    <row r="12" spans="1:5" x14ac:dyDescent="0.2">
      <c r="A12">
        <v>330</v>
      </c>
      <c r="B12" s="1">
        <f>AVERAGE('VR Template-InteractoBot'!B12, 'XRI Assets-InteractoBot'!B12, 'EscapeProto-InteractoBot'!B12, 'EscapeRoom-InteractoBot'!B12, 'GameJam-InteractoBot'!B12, 'XRI Kit-InteractoBot'!B12, 'XRI Examples-InteractoBot'!B12)</f>
        <v>0.95392871491706366</v>
      </c>
    </row>
    <row r="13" spans="1:5" x14ac:dyDescent="0.2">
      <c r="A13">
        <v>360</v>
      </c>
      <c r="B13" s="1">
        <f>AVERAGE('VR Template-InteractoBot'!B13, 'XRI Assets-InteractoBot'!B13, 'EscapeProto-InteractoBot'!B13, 'EscapeRoom-InteractoBot'!B13, 'GameJam-InteractoBot'!B13, 'XRI Kit-InteractoBot'!B13, 'XRI Examples-InteractoBot'!B13)</f>
        <v>0.96199850771968087</v>
      </c>
    </row>
    <row r="14" spans="1:5" x14ac:dyDescent="0.2">
      <c r="A14">
        <v>390</v>
      </c>
      <c r="B14" s="1">
        <f>AVERAGE('VR Template-InteractoBot'!B14, 'XRI Assets-InteractoBot'!B14, 'EscapeProto-InteractoBot'!B14, 'EscapeRoom-InteractoBot'!B14, 'GameJam-InteractoBot'!B14, 'XRI Kit-InteractoBot'!B14, 'XRI Examples-InteractoBot'!B14)</f>
        <v>0.97094071055501352</v>
      </c>
    </row>
    <row r="15" spans="1:5" x14ac:dyDescent="0.2">
      <c r="A15">
        <v>420</v>
      </c>
      <c r="B15" s="1">
        <f>AVERAGE('VR Template-InteractoBot'!B15, 'XRI Assets-InteractoBot'!B15, 'EscapeProto-InteractoBot'!B15, 'EscapeRoom-InteractoBot'!B15, 'GameJam-InteractoBot'!B15, 'XRI Kit-InteractoBot'!B15, 'XRI Examples-InteractoBot'!B15)</f>
        <v>0.98075532342306138</v>
      </c>
    </row>
    <row r="16" spans="1:5" x14ac:dyDescent="0.2">
      <c r="A16">
        <v>450</v>
      </c>
      <c r="B16" s="1">
        <f>AVERAGE('VR Template-InteractoBot'!B16, 'XRI Assets-InteractoBot'!B16, 'EscapeProto-InteractoBot'!B16, 'EscapeRoom-InteractoBot'!B16, 'GameJam-InteractoBot'!B16, 'XRI Kit-InteractoBot'!B16, 'XRI Examples-InteractoBot'!B16)</f>
        <v>0.9864259886357114</v>
      </c>
    </row>
    <row r="17" spans="1:2" x14ac:dyDescent="0.2">
      <c r="A17">
        <v>480</v>
      </c>
      <c r="B17" s="1">
        <f>AVERAGE('VR Template-InteractoBot'!B17, 'XRI Assets-InteractoBot'!B17, 'EscapeProto-InteractoBot'!B17, 'EscapeRoom-InteractoBot'!B17, 'GameJam-InteractoBot'!B17, 'XRI Kit-InteractoBot'!B17, 'XRI Examples-InteractoBot'!B17)</f>
        <v>0.99013373127475179</v>
      </c>
    </row>
    <row r="18" spans="1:2" x14ac:dyDescent="0.2">
      <c r="A18">
        <v>510</v>
      </c>
      <c r="B18" s="1">
        <f>AVERAGE('VR Template-InteractoBot'!B18, 'XRI Assets-InteractoBot'!B18, 'EscapeProto-InteractoBot'!B18, 'EscapeRoom-InteractoBot'!B18, 'GameJam-InteractoBot'!B18, 'XRI Kit-InteractoBot'!B18, 'XRI Examples-InteractoBot'!B18)</f>
        <v>0.99078803879928834</v>
      </c>
    </row>
    <row r="19" spans="1:2" x14ac:dyDescent="0.2">
      <c r="A19">
        <v>540</v>
      </c>
      <c r="B19" s="1">
        <f>AVERAGE('VR Template-InteractoBot'!B19, 'XRI Assets-InteractoBot'!B19, 'EscapeProto-InteractoBot'!B19, 'EscapeRoom-InteractoBot'!B19, 'GameJam-InteractoBot'!B19, 'XRI Kit-InteractoBot'!B19, 'XRI Examples-InteractoBot'!B19)</f>
        <v>0.99100614130746723</v>
      </c>
    </row>
    <row r="20" spans="1:2" x14ac:dyDescent="0.2">
      <c r="A20">
        <v>570</v>
      </c>
      <c r="B20" s="1">
        <f>AVERAGE('VR Template-InteractoBot'!B20, 'XRI Assets-InteractoBot'!B20, 'EscapeProto-InteractoBot'!B20, 'EscapeRoom-InteractoBot'!B20, 'GameJam-InteractoBot'!B20, 'XRI Kit-InteractoBot'!B20, 'XRI Examples-InteractoBot'!B20)</f>
        <v>0.99100614130746723</v>
      </c>
    </row>
    <row r="21" spans="1:2" x14ac:dyDescent="0.2">
      <c r="A21">
        <v>600</v>
      </c>
      <c r="B21" s="1">
        <f>AVERAGE('VR Template-InteractoBot'!B21, 'XRI Assets-InteractoBot'!B21, 'EscapeProto-InteractoBot'!B21, 'EscapeRoom-InteractoBot'!B21, 'GameJam-InteractoBot'!B21, 'XRI Kit-InteractoBot'!B21, 'XRI Examples-InteractoBot'!B21)</f>
        <v>0.99100614130746723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EscapeRoom-InteractoBot</vt:lpstr>
      <vt:lpstr>EscapeRoom-Random</vt:lpstr>
      <vt:lpstr>GameJam-InteractoBot</vt:lpstr>
      <vt:lpstr>GameJam-Random</vt:lpstr>
      <vt:lpstr>XRI Kit-InteractoBot</vt:lpstr>
      <vt:lpstr>XRI Kit-Random</vt:lpstr>
      <vt:lpstr>XRI Examples-InteractoBot</vt:lpstr>
      <vt:lpstr>XRI Examples-Random</vt:lpstr>
      <vt:lpstr>Average-InteractoBot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2025-05-15T21:30:52Z</dcterms:modified>
</cp:coreProperties>
</file>