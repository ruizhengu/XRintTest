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uizhengu/Projects/InteractoBot/evaluation/"/>
    </mc:Choice>
  </mc:AlternateContent>
  <xr:revisionPtr revIDLastSave="0" documentId="13_ncr:1_{CC1BECA8-3381-354B-82A1-3214DAD37DC9}" xr6:coauthVersionLast="47" xr6:coauthVersionMax="47" xr10:uidLastSave="{00000000-0000-0000-0000-000000000000}"/>
  <bookViews>
    <workbookView xWindow="0" yWindow="760" windowWidth="30240" windowHeight="17140" firstSheet="8" activeTab="9" xr2:uid="{484EE131-55FD-F246-A82E-4E47E236206B}"/>
  </bookViews>
  <sheets>
    <sheet name="VR Template-InteractoBot" sheetId="1" r:id="rId1"/>
    <sheet name="VR Template-Random" sheetId="2" r:id="rId2"/>
    <sheet name="XRI Assets-InteractoBot" sheetId="3" r:id="rId3"/>
    <sheet name="XRI Assets-Random" sheetId="4" r:id="rId4"/>
    <sheet name="EscapeProto-InteractoBot" sheetId="5" r:id="rId5"/>
    <sheet name="EscapeProto-Random" sheetId="6" r:id="rId6"/>
    <sheet name="EscapeRoom-InteractoBot" sheetId="9" r:id="rId7"/>
    <sheet name="EscapeRoom-Random" sheetId="10" r:id="rId8"/>
    <sheet name="GameJam-InteractoBot" sheetId="7" r:id="rId9"/>
    <sheet name="GameJam-Random" sheetId="8" r:id="rId10"/>
    <sheet name="XRI Kit-InteractoBot" sheetId="11" r:id="rId11"/>
    <sheet name="XRI Kit-Random" sheetId="12" r:id="rId12"/>
    <sheet name="XRI Examples-InteractoBot" sheetId="13" r:id="rId13"/>
    <sheet name="XRI Examples-Random" sheetId="14" r:id="rId14"/>
    <sheet name="Average-InteractoBot" sheetId="15" r:id="rId15"/>
    <sheet name="Average-Random" sheetId="16" r:id="rId16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8" l="1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C2" i="8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G12" i="10"/>
  <c r="G13" i="10"/>
  <c r="G14" i="10"/>
  <c r="G15" i="10"/>
  <c r="G16" i="10"/>
  <c r="G17" i="10"/>
  <c r="G18" i="10"/>
  <c r="G19" i="10"/>
  <c r="B19" i="10" s="1"/>
  <c r="G20" i="10"/>
  <c r="B20" i="10" s="1"/>
  <c r="G21" i="10"/>
  <c r="B21" i="10" s="1"/>
  <c r="G11" i="10"/>
  <c r="G10" i="10"/>
  <c r="G9" i="10"/>
  <c r="G8" i="10"/>
  <c r="G7" i="10"/>
  <c r="G6" i="10"/>
  <c r="G5" i="10"/>
  <c r="G4" i="10"/>
  <c r="G3" i="10"/>
  <c r="G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F9" i="10"/>
  <c r="F8" i="10"/>
  <c r="F7" i="10"/>
  <c r="F6" i="10"/>
  <c r="F5" i="10"/>
  <c r="F4" i="10"/>
  <c r="F3" i="10"/>
  <c r="F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C4" i="10"/>
  <c r="C3" i="10"/>
  <c r="C2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7" i="6"/>
  <c r="G6" i="6"/>
  <c r="G5" i="6"/>
  <c r="G4" i="6"/>
  <c r="G3" i="6"/>
  <c r="G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D8" i="6"/>
  <c r="D9" i="6"/>
  <c r="D10" i="6"/>
  <c r="D11" i="6"/>
  <c r="D12" i="6"/>
  <c r="D13" i="6"/>
  <c r="B13" i="6" s="1"/>
  <c r="D14" i="6"/>
  <c r="D15" i="6"/>
  <c r="B15" i="6" s="1"/>
  <c r="D16" i="6"/>
  <c r="D17" i="6"/>
  <c r="D18" i="6"/>
  <c r="D19" i="6"/>
  <c r="B19" i="6" s="1"/>
  <c r="D20" i="6"/>
  <c r="D21" i="6"/>
  <c r="D7" i="6"/>
  <c r="D6" i="6"/>
  <c r="D5" i="6"/>
  <c r="D4" i="6"/>
  <c r="D3" i="6"/>
  <c r="D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" i="2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" i="4"/>
  <c r="B21" i="6"/>
  <c r="B20" i="6"/>
  <c r="B17" i="6"/>
  <c r="B11" i="6"/>
  <c r="B9" i="6"/>
  <c r="B7" i="6"/>
  <c r="B5" i="6"/>
  <c r="B3" i="6"/>
  <c r="G12" i="4"/>
  <c r="G13" i="4"/>
  <c r="G14" i="4"/>
  <c r="G15" i="4"/>
  <c r="G16" i="4"/>
  <c r="G17" i="4"/>
  <c r="G18" i="4"/>
  <c r="G19" i="4"/>
  <c r="G20" i="4"/>
  <c r="G21" i="4"/>
  <c r="G11" i="4"/>
  <c r="G10" i="4"/>
  <c r="G9" i="4"/>
  <c r="G8" i="4"/>
  <c r="G7" i="4"/>
  <c r="G6" i="4"/>
  <c r="G5" i="4"/>
  <c r="G4" i="4"/>
  <c r="G3" i="4"/>
  <c r="G2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7" i="4"/>
  <c r="F6" i="4"/>
  <c r="F5" i="4"/>
  <c r="F4" i="4"/>
  <c r="F3" i="4"/>
  <c r="F2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4" i="4"/>
  <c r="E3" i="4"/>
  <c r="E2" i="4"/>
  <c r="D12" i="4"/>
  <c r="D13" i="4"/>
  <c r="D14" i="4"/>
  <c r="D15" i="4"/>
  <c r="D16" i="4"/>
  <c r="D17" i="4"/>
  <c r="D18" i="4"/>
  <c r="D19" i="4"/>
  <c r="D20" i="4"/>
  <c r="D21" i="4"/>
  <c r="D11" i="4"/>
  <c r="D10" i="4"/>
  <c r="D3" i="4"/>
  <c r="D4" i="4"/>
  <c r="D5" i="4"/>
  <c r="D6" i="4"/>
  <c r="D7" i="4"/>
  <c r="D8" i="4"/>
  <c r="D9" i="4"/>
  <c r="D2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6" i="4"/>
  <c r="C5" i="4"/>
  <c r="C4" i="4"/>
  <c r="C3" i="4"/>
  <c r="C2" i="4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5" i="2"/>
  <c r="D4" i="2"/>
  <c r="D3" i="2"/>
  <c r="D2" i="2"/>
  <c r="C4" i="2"/>
  <c r="C3" i="2"/>
  <c r="C2" i="2"/>
  <c r="E2" i="15"/>
  <c r="G8" i="13"/>
  <c r="G7" i="13"/>
  <c r="G6" i="13"/>
  <c r="G5" i="13"/>
  <c r="G4" i="13"/>
  <c r="G3" i="13"/>
  <c r="G2" i="13"/>
  <c r="F8" i="13"/>
  <c r="F7" i="13"/>
  <c r="F6" i="13"/>
  <c r="F5" i="13"/>
  <c r="F4" i="13"/>
  <c r="F3" i="13"/>
  <c r="F2" i="13"/>
  <c r="E8" i="13"/>
  <c r="E7" i="13"/>
  <c r="E6" i="13"/>
  <c r="E5" i="13"/>
  <c r="E4" i="13"/>
  <c r="E3" i="13"/>
  <c r="E2" i="13"/>
  <c r="B6" i="15"/>
  <c r="B7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G21" i="13"/>
  <c r="G20" i="13"/>
  <c r="G19" i="13"/>
  <c r="G18" i="13"/>
  <c r="G17" i="13"/>
  <c r="G16" i="13"/>
  <c r="G15" i="13"/>
  <c r="B15" i="13" s="1"/>
  <c r="G14" i="13"/>
  <c r="G13" i="13"/>
  <c r="B13" i="13" s="1"/>
  <c r="G12" i="13"/>
  <c r="G11" i="13"/>
  <c r="G10" i="13"/>
  <c r="G9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F9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C10" i="13"/>
  <c r="C11" i="13"/>
  <c r="C12" i="13"/>
  <c r="C13" i="13"/>
  <c r="C14" i="13"/>
  <c r="C15" i="13"/>
  <c r="C16" i="13"/>
  <c r="C17" i="13"/>
  <c r="B17" i="13" s="1"/>
  <c r="C18" i="13"/>
  <c r="C19" i="13"/>
  <c r="C20" i="13"/>
  <c r="C21" i="13"/>
  <c r="B21" i="13" s="1"/>
  <c r="C9" i="13"/>
  <c r="C8" i="13"/>
  <c r="C7" i="13"/>
  <c r="C6" i="13"/>
  <c r="C5" i="13"/>
  <c r="C4" i="13"/>
  <c r="C3" i="13"/>
  <c r="C2" i="13"/>
  <c r="B20" i="13"/>
  <c r="B19" i="13"/>
  <c r="B18" i="13"/>
  <c r="B8" i="13"/>
  <c r="B8" i="15" s="1"/>
  <c r="M7" i="13"/>
  <c r="B7" i="13"/>
  <c r="B6" i="13"/>
  <c r="B5" i="13"/>
  <c r="B5" i="15" s="1"/>
  <c r="B4" i="13"/>
  <c r="B4" i="15" s="1"/>
  <c r="B3" i="13"/>
  <c r="B3" i="15" s="1"/>
  <c r="B2" i="13"/>
  <c r="B2" i="15" s="1"/>
  <c r="G5" i="11"/>
  <c r="G4" i="11"/>
  <c r="G3" i="11"/>
  <c r="G2" i="11"/>
  <c r="F5" i="11"/>
  <c r="F4" i="11"/>
  <c r="F3" i="11"/>
  <c r="F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F9" i="11"/>
  <c r="F8" i="11"/>
  <c r="F7" i="11"/>
  <c r="F6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C7" i="11"/>
  <c r="C8" i="11"/>
  <c r="C9" i="11"/>
  <c r="C10" i="11"/>
  <c r="C11" i="11"/>
  <c r="C12" i="11"/>
  <c r="C13" i="11"/>
  <c r="C14" i="11"/>
  <c r="C15" i="11"/>
  <c r="C16" i="11"/>
  <c r="C17" i="11"/>
  <c r="B17" i="11" s="1"/>
  <c r="C18" i="11"/>
  <c r="C19" i="11"/>
  <c r="C20" i="11"/>
  <c r="B20" i="11" s="1"/>
  <c r="C21" i="11"/>
  <c r="B21" i="11" s="1"/>
  <c r="C6" i="11"/>
  <c r="C5" i="11"/>
  <c r="C4" i="11"/>
  <c r="C3" i="11"/>
  <c r="C2" i="11"/>
  <c r="B19" i="11"/>
  <c r="B18" i="11"/>
  <c r="B16" i="11"/>
  <c r="B12" i="11"/>
  <c r="B11" i="11"/>
  <c r="M7" i="11"/>
  <c r="B5" i="11"/>
  <c r="B4" i="11"/>
  <c r="B3" i="11"/>
  <c r="B2" i="11"/>
  <c r="G4" i="7"/>
  <c r="G3" i="7"/>
  <c r="G2" i="7"/>
  <c r="F4" i="7"/>
  <c r="F3" i="7"/>
  <c r="F2" i="7"/>
  <c r="E4" i="7"/>
  <c r="E3" i="7"/>
  <c r="E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B20" i="7" s="1"/>
  <c r="C21" i="7"/>
  <c r="B21" i="7" s="1"/>
  <c r="C5" i="7"/>
  <c r="D4" i="7"/>
  <c r="D3" i="7"/>
  <c r="D2" i="7"/>
  <c r="C4" i="7"/>
  <c r="C3" i="7"/>
  <c r="C2" i="7"/>
  <c r="B19" i="7"/>
  <c r="M7" i="7"/>
  <c r="B4" i="7"/>
  <c r="B3" i="7"/>
  <c r="B2" i="7"/>
  <c r="G17" i="9"/>
  <c r="G18" i="9"/>
  <c r="G19" i="9"/>
  <c r="G20" i="9"/>
  <c r="G21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" i="9"/>
  <c r="F16" i="9"/>
  <c r="F15" i="9"/>
  <c r="F14" i="9"/>
  <c r="F13" i="9"/>
  <c r="F12" i="9"/>
  <c r="F10" i="9"/>
  <c r="F11" i="9"/>
  <c r="F9" i="9"/>
  <c r="F8" i="9"/>
  <c r="F7" i="9"/>
  <c r="F6" i="9"/>
  <c r="F5" i="9"/>
  <c r="F4" i="9"/>
  <c r="F3" i="9"/>
  <c r="F2" i="9"/>
  <c r="E17" i="9"/>
  <c r="E18" i="9"/>
  <c r="E19" i="9"/>
  <c r="E20" i="9"/>
  <c r="E21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D18" i="9"/>
  <c r="D19" i="9"/>
  <c r="D20" i="9"/>
  <c r="D21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C20" i="9"/>
  <c r="C21" i="9"/>
  <c r="C19" i="9"/>
  <c r="C17" i="9"/>
  <c r="C18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F21" i="9"/>
  <c r="B21" i="9"/>
  <c r="F20" i="9"/>
  <c r="B20" i="9"/>
  <c r="F19" i="9"/>
  <c r="B19" i="9"/>
  <c r="F18" i="9"/>
  <c r="B18" i="9" s="1"/>
  <c r="F17" i="9"/>
  <c r="B17" i="9"/>
  <c r="B16" i="9"/>
  <c r="B15" i="9"/>
  <c r="B14" i="9"/>
  <c r="B13" i="9"/>
  <c r="B12" i="9"/>
  <c r="B11" i="9"/>
  <c r="B10" i="9"/>
  <c r="B9" i="9"/>
  <c r="B8" i="9"/>
  <c r="M7" i="9"/>
  <c r="B7" i="9"/>
  <c r="B6" i="9"/>
  <c r="B5" i="9"/>
  <c r="B4" i="9"/>
  <c r="B3" i="9"/>
  <c r="B2" i="9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B8" i="5" s="1"/>
  <c r="G7" i="5"/>
  <c r="B7" i="5" s="1"/>
  <c r="G6" i="5"/>
  <c r="B6" i="5" s="1"/>
  <c r="G5" i="5"/>
  <c r="G4" i="5"/>
  <c r="G3" i="5"/>
  <c r="G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B5" i="5" s="1"/>
  <c r="F4" i="5"/>
  <c r="F3" i="5"/>
  <c r="B3" i="5" s="1"/>
  <c r="F2" i="5"/>
  <c r="B2" i="5" s="1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3" i="5"/>
  <c r="E2" i="5"/>
  <c r="D4" i="5"/>
  <c r="D5" i="5"/>
  <c r="D6" i="5"/>
  <c r="D7" i="5"/>
  <c r="D8" i="5"/>
  <c r="D9" i="5"/>
  <c r="D10" i="5"/>
  <c r="D11" i="5"/>
  <c r="D12" i="5"/>
  <c r="D13" i="5"/>
  <c r="D14" i="5"/>
  <c r="D15" i="5"/>
  <c r="B15" i="5" s="1"/>
  <c r="D16" i="5"/>
  <c r="D17" i="5"/>
  <c r="D18" i="5"/>
  <c r="D19" i="5"/>
  <c r="D20" i="5"/>
  <c r="D21" i="5"/>
  <c r="D3" i="5"/>
  <c r="D2" i="5"/>
  <c r="C4" i="5"/>
  <c r="C5" i="5"/>
  <c r="C6" i="5"/>
  <c r="C7" i="5"/>
  <c r="C8" i="5"/>
  <c r="C9" i="5"/>
  <c r="C10" i="5"/>
  <c r="C11" i="5"/>
  <c r="C12" i="5"/>
  <c r="C13" i="5"/>
  <c r="B13" i="5" s="1"/>
  <c r="C14" i="5"/>
  <c r="C15" i="5"/>
  <c r="C16" i="5"/>
  <c r="B16" i="5" s="1"/>
  <c r="C17" i="5"/>
  <c r="B17" i="5" s="1"/>
  <c r="C18" i="5"/>
  <c r="C19" i="5"/>
  <c r="B19" i="5" s="1"/>
  <c r="C20" i="5"/>
  <c r="C21" i="5"/>
  <c r="C3" i="5"/>
  <c r="B9" i="5"/>
  <c r="C2" i="5"/>
  <c r="M7" i="5"/>
  <c r="G2" i="1"/>
  <c r="F2" i="1"/>
  <c r="E3" i="1"/>
  <c r="E2" i="1"/>
  <c r="D2" i="1"/>
  <c r="C2" i="1"/>
  <c r="E2" i="3"/>
  <c r="D2" i="3"/>
  <c r="C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B17" i="3" s="1"/>
  <c r="G18" i="3"/>
  <c r="G19" i="3"/>
  <c r="G20" i="3"/>
  <c r="B20" i="3" s="1"/>
  <c r="G21" i="3"/>
  <c r="B21" i="3" s="1"/>
  <c r="G3" i="3"/>
  <c r="G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B2" i="3" s="1"/>
  <c r="E21" i="3"/>
  <c r="E20" i="3"/>
  <c r="E19" i="3"/>
  <c r="E18" i="3"/>
  <c r="E17" i="3"/>
  <c r="E16" i="3"/>
  <c r="E15" i="3"/>
  <c r="E14" i="3"/>
  <c r="E13" i="3"/>
  <c r="E12" i="3"/>
  <c r="E11" i="3"/>
  <c r="B11" i="3" s="1"/>
  <c r="E10" i="3"/>
  <c r="E9" i="3"/>
  <c r="E8" i="3"/>
  <c r="B8" i="3" s="1"/>
  <c r="E7" i="3"/>
  <c r="B7" i="3" s="1"/>
  <c r="E6" i="3"/>
  <c r="B6" i="3" s="1"/>
  <c r="E5" i="3"/>
  <c r="B5" i="3" s="1"/>
  <c r="E4" i="3"/>
  <c r="B4" i="3" s="1"/>
  <c r="E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B18" i="3" s="1"/>
  <c r="D19" i="3"/>
  <c r="D20" i="3"/>
  <c r="D21" i="3"/>
  <c r="D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B19" i="3" s="1"/>
  <c r="C20" i="3"/>
  <c r="C21" i="3"/>
  <c r="C3" i="3"/>
  <c r="M7" i="3"/>
  <c r="M7" i="1"/>
  <c r="G4" i="1"/>
  <c r="G5" i="1"/>
  <c r="G6" i="1"/>
  <c r="G7" i="1"/>
  <c r="G8" i="1"/>
  <c r="G9" i="1"/>
  <c r="G10" i="1"/>
  <c r="G11" i="1"/>
  <c r="G12" i="1"/>
  <c r="G13" i="1"/>
  <c r="B13" i="1" s="1"/>
  <c r="G14" i="1"/>
  <c r="G15" i="1"/>
  <c r="G16" i="1"/>
  <c r="G17" i="1"/>
  <c r="G18" i="1"/>
  <c r="G19" i="1"/>
  <c r="G20" i="1"/>
  <c r="G21" i="1"/>
  <c r="G3" i="1"/>
  <c r="B9" i="1"/>
  <c r="B12" i="1"/>
  <c r="B14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3" i="1"/>
  <c r="C3" i="1"/>
  <c r="B3" i="1" s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4" i="1"/>
  <c r="D4" i="1"/>
  <c r="B4" i="1" s="1"/>
  <c r="D5" i="1"/>
  <c r="B5" i="1" s="1"/>
  <c r="D6" i="1"/>
  <c r="B6" i="1" s="1"/>
  <c r="D7" i="1"/>
  <c r="B7" i="1" s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C21" i="1"/>
  <c r="B21" i="1" s="1"/>
  <c r="C20" i="1"/>
  <c r="B20" i="1" s="1"/>
  <c r="C19" i="1"/>
  <c r="B19" i="1" s="1"/>
  <c r="C18" i="1"/>
  <c r="B18" i="1" s="1"/>
  <c r="C17" i="1"/>
  <c r="B17" i="1" s="1"/>
  <c r="C16" i="1"/>
  <c r="B16" i="1" s="1"/>
  <c r="C15" i="1"/>
  <c r="C14" i="1"/>
  <c r="C13" i="1"/>
  <c r="C12" i="1"/>
  <c r="C11" i="1"/>
  <c r="C10" i="1"/>
  <c r="C9" i="1"/>
  <c r="C8" i="1"/>
  <c r="C7" i="1"/>
  <c r="C6" i="1"/>
  <c r="C5" i="1"/>
  <c r="C4" i="1"/>
  <c r="D3" i="1"/>
  <c r="B16" i="6" l="1"/>
  <c r="B14" i="6"/>
  <c r="B10" i="6"/>
  <c r="B6" i="6"/>
  <c r="B8" i="6"/>
  <c r="B4" i="6"/>
  <c r="B12" i="6"/>
  <c r="B2" i="6"/>
  <c r="B18" i="6"/>
  <c r="B16" i="13"/>
  <c r="B12" i="13"/>
  <c r="B14" i="13"/>
  <c r="B9" i="13"/>
  <c r="B10" i="13"/>
  <c r="B11" i="13"/>
  <c r="B9" i="11"/>
  <c r="B7" i="11"/>
  <c r="B6" i="11"/>
  <c r="B8" i="11"/>
  <c r="B10" i="11"/>
  <c r="B14" i="11"/>
  <c r="B15" i="11"/>
  <c r="B13" i="11"/>
  <c r="B16" i="7"/>
  <c r="B6" i="7"/>
  <c r="B11" i="7"/>
  <c r="B7" i="7"/>
  <c r="B17" i="7"/>
  <c r="B9" i="7"/>
  <c r="B5" i="7"/>
  <c r="B10" i="7"/>
  <c r="B12" i="7"/>
  <c r="B15" i="7"/>
  <c r="B8" i="7"/>
  <c r="B14" i="7"/>
  <c r="B13" i="7"/>
  <c r="B18" i="7"/>
  <c r="B12" i="5"/>
  <c r="B4" i="5"/>
  <c r="B10" i="5"/>
  <c r="B11" i="5"/>
  <c r="B21" i="5"/>
  <c r="B20" i="5"/>
  <c r="B14" i="5"/>
  <c r="B18" i="5"/>
  <c r="B14" i="3"/>
  <c r="B13" i="3"/>
  <c r="B16" i="3"/>
  <c r="B15" i="3"/>
  <c r="B10" i="3"/>
  <c r="B12" i="3"/>
  <c r="B9" i="3"/>
  <c r="B3" i="3"/>
  <c r="B11" i="1"/>
  <c r="B2" i="1"/>
  <c r="B10" i="1"/>
  <c r="B15" i="1"/>
  <c r="B8" i="1"/>
</calcChain>
</file>

<file path=xl/sharedStrings.xml><?xml version="1.0" encoding="utf-8"?>
<sst xmlns="http://schemas.openxmlformats.org/spreadsheetml/2006/main" count="493" uniqueCount="86">
  <si>
    <t>Time</t>
  </si>
  <si>
    <t>Coverage</t>
  </si>
  <si>
    <t>Run 1</t>
  </si>
  <si>
    <t>Run 2</t>
  </si>
  <si>
    <t>Run 3</t>
  </si>
  <si>
    <t>Run 4</t>
  </si>
  <si>
    <t>Run 5</t>
  </si>
  <si>
    <t>Trigger</t>
  </si>
  <si>
    <t>Grab</t>
  </si>
  <si>
    <t>Total</t>
  </si>
  <si>
    <t>1/1</t>
  </si>
  <si>
    <t>8/8</t>
  </si>
  <si>
    <t>9/9</t>
  </si>
  <si>
    <t>Average</t>
  </si>
  <si>
    <t>0/1</t>
  </si>
  <si>
    <t>2/2</t>
  </si>
  <si>
    <t>6/6</t>
  </si>
  <si>
    <t>17/17</t>
  </si>
  <si>
    <t>11/11</t>
  </si>
  <si>
    <t>17/19</t>
  </si>
  <si>
    <t>108/112</t>
  </si>
  <si>
    <t>19/19</t>
  </si>
  <si>
    <t>127/131</t>
  </si>
  <si>
    <t>Detected Bugs</t>
  </si>
  <si>
    <t>2</t>
  </si>
  <si>
    <t>122/131</t>
  </si>
  <si>
    <t>18/19</t>
  </si>
  <si>
    <t>124/131</t>
  </si>
  <si>
    <t>105/112</t>
  </si>
  <si>
    <t>15/19</t>
  </si>
  <si>
    <t>121/131</t>
  </si>
  <si>
    <t>17.6/19</t>
  </si>
  <si>
    <t>106.6/112</t>
  </si>
  <si>
    <t>106/112</t>
  </si>
  <si>
    <t>124.2/131</t>
  </si>
  <si>
    <t>3/3</t>
  </si>
  <si>
    <t>21/21</t>
  </si>
  <si>
    <t>24/24</t>
  </si>
  <si>
    <t>10/10</t>
  </si>
  <si>
    <t>27/28</t>
  </si>
  <si>
    <t>37/38</t>
  </si>
  <si>
    <t>44/44</t>
  </si>
  <si>
    <t>52/52</t>
  </si>
  <si>
    <t xml:space="preserve">Execution Time </t>
  </si>
  <si>
    <t>3/8</t>
  </si>
  <si>
    <t>4/8</t>
  </si>
  <si>
    <t>4/9</t>
  </si>
  <si>
    <t>5/8</t>
  </si>
  <si>
    <t>5/9</t>
  </si>
  <si>
    <t>3/9</t>
  </si>
  <si>
    <t>2/8</t>
  </si>
  <si>
    <t>2/9</t>
  </si>
  <si>
    <t>3.6/8</t>
  </si>
  <si>
    <t>3.6/9</t>
  </si>
  <si>
    <t>0/2</t>
  </si>
  <si>
    <t>2/6</t>
  </si>
  <si>
    <t>3/6</t>
  </si>
  <si>
    <t>2.6/6</t>
  </si>
  <si>
    <t>2.6/8</t>
  </si>
  <si>
    <t>0/6</t>
  </si>
  <si>
    <t>6/11</t>
  </si>
  <si>
    <t>6/17</t>
  </si>
  <si>
    <t>3/11</t>
  </si>
  <si>
    <t>3/17</t>
  </si>
  <si>
    <t>8/11</t>
  </si>
  <si>
    <t>8/17</t>
  </si>
  <si>
    <t>4/11</t>
  </si>
  <si>
    <t>4/17</t>
  </si>
  <si>
    <t>5/11</t>
  </si>
  <si>
    <t>5/17</t>
  </si>
  <si>
    <t>0/19</t>
  </si>
  <si>
    <t>9/112</t>
  </si>
  <si>
    <t>9/131</t>
  </si>
  <si>
    <t>22/112</t>
  </si>
  <si>
    <t>22/131</t>
  </si>
  <si>
    <t>8/112</t>
  </si>
  <si>
    <t>8/131</t>
  </si>
  <si>
    <t>3/112</t>
  </si>
  <si>
    <t>3/131</t>
  </si>
  <si>
    <t>10.2/112</t>
  </si>
  <si>
    <t>10.2/131</t>
  </si>
  <si>
    <t>0/3</t>
  </si>
  <si>
    <t>0/10</t>
  </si>
  <si>
    <t>0/8</t>
  </si>
  <si>
    <t>5/21</t>
  </si>
  <si>
    <t>5/24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</si>
</sst>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2" fontId="0" fillId="0" borderId="0" xfId="0" applyNumberFormat="1"/>
    <xf numFmtId="49" fontId="0" fillId="0" borderId="0" xfId="0" applyNumberFormat="1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9EA9-DAEC-BA47-AE45-0297A61EDF45}">
  <dimension ref="A1:N21"/>
  <sheetViews>
    <sheetView zoomScale="150" workbookViewId="0">
      <selection activeCell="B2" sqref="B2"/>
    </sheetView>
  </sheetViews>
  <sheetFormatPr baseColWidth="10" defaultRowHeight="16" x14ac:dyDescent="0.2"/>
  <cols>
    <col min="1" max="1" width="15.1640625" customWidth="1"/>
    <col min="2" max="2" width="12.6640625" style="1" customWidth="1"/>
    <col min="3" max="7" width="10.83203125" style="1"/>
    <col min="9" max="9" width="10.83203125" customWidth="1"/>
    <col min="10" max="14" width="10.83203125" style="2"/>
  </cols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0.86666666666666659</v>
      </c>
      <c r="C2" s="1">
        <f>8/9</f>
        <v>0.88888888888888884</v>
      </c>
      <c r="D2" s="1">
        <f>8/9</f>
        <v>0.88888888888888884</v>
      </c>
      <c r="E2" s="1">
        <f>7/9</f>
        <v>0.77777777777777779</v>
      </c>
      <c r="F2" s="1">
        <f>8/9</f>
        <v>0.88888888888888884</v>
      </c>
      <c r="G2" s="1">
        <f>8/9</f>
        <v>0.88888888888888884</v>
      </c>
      <c r="I2" s="2" t="s">
        <v>2</v>
      </c>
      <c r="J2" s="2" t="s">
        <v>10</v>
      </c>
      <c r="K2" s="2" t="s">
        <v>11</v>
      </c>
      <c r="L2" s="2" t="s">
        <v>12</v>
      </c>
      <c r="M2" s="1">
        <v>36.1</v>
      </c>
    </row>
    <row r="3" spans="1:13" x14ac:dyDescent="0.2">
      <c r="A3">
        <v>60</v>
      </c>
      <c r="B3" s="1">
        <f t="shared" ref="B3:B21" si="0">AVERAGE(C3:G3)</f>
        <v>1</v>
      </c>
      <c r="C3" s="1">
        <f>9/9</f>
        <v>1</v>
      </c>
      <c r="D3" s="1">
        <f>9/9</f>
        <v>1</v>
      </c>
      <c r="E3" s="1">
        <f>9/9</f>
        <v>1</v>
      </c>
      <c r="F3" s="1">
        <f>9/9</f>
        <v>1</v>
      </c>
      <c r="G3" s="1">
        <f>9/9</f>
        <v>1</v>
      </c>
      <c r="I3" s="2" t="s">
        <v>3</v>
      </c>
      <c r="J3" s="2" t="s">
        <v>10</v>
      </c>
      <c r="K3" s="2" t="s">
        <v>11</v>
      </c>
      <c r="L3" s="2" t="s">
        <v>12</v>
      </c>
      <c r="M3" s="1">
        <v>35.1</v>
      </c>
    </row>
    <row r="4" spans="1:13" x14ac:dyDescent="0.2">
      <c r="A4">
        <v>90</v>
      </c>
      <c r="B4" s="1">
        <f t="shared" si="0"/>
        <v>1</v>
      </c>
      <c r="C4" s="1">
        <f>9/9</f>
        <v>1</v>
      </c>
      <c r="D4" s="1">
        <f t="shared" ref="D4:E21" si="1">9/9</f>
        <v>1</v>
      </c>
      <c r="E4" s="1">
        <f>9/9</f>
        <v>1</v>
      </c>
      <c r="F4" s="1">
        <f t="shared" ref="F4:G21" si="2">9/9</f>
        <v>1</v>
      </c>
      <c r="G4" s="1">
        <f t="shared" si="2"/>
        <v>1</v>
      </c>
      <c r="I4" s="2" t="s">
        <v>4</v>
      </c>
      <c r="J4" s="2" t="s">
        <v>10</v>
      </c>
      <c r="K4" s="2" t="s">
        <v>11</v>
      </c>
      <c r="L4" s="2" t="s">
        <v>12</v>
      </c>
      <c r="M4" s="1">
        <v>39.700000000000003</v>
      </c>
    </row>
    <row r="5" spans="1:13" x14ac:dyDescent="0.2">
      <c r="A5">
        <v>120</v>
      </c>
      <c r="B5" s="1">
        <f t="shared" si="0"/>
        <v>1</v>
      </c>
      <c r="C5" s="1">
        <f t="shared" ref="C5:C21" si="3">9/9</f>
        <v>1</v>
      </c>
      <c r="D5" s="1">
        <f t="shared" si="1"/>
        <v>1</v>
      </c>
      <c r="E5" s="1">
        <f t="shared" si="1"/>
        <v>1</v>
      </c>
      <c r="F5" s="1">
        <f t="shared" si="2"/>
        <v>1</v>
      </c>
      <c r="G5" s="1">
        <f t="shared" si="2"/>
        <v>1</v>
      </c>
      <c r="I5" s="2" t="s">
        <v>5</v>
      </c>
      <c r="J5" s="2" t="s">
        <v>10</v>
      </c>
      <c r="K5" s="2" t="s">
        <v>11</v>
      </c>
      <c r="L5" s="2" t="s">
        <v>12</v>
      </c>
      <c r="M5" s="1">
        <v>34.6</v>
      </c>
    </row>
    <row r="6" spans="1:13" x14ac:dyDescent="0.2">
      <c r="A6">
        <v>150</v>
      </c>
      <c r="B6" s="1">
        <f t="shared" si="0"/>
        <v>1</v>
      </c>
      <c r="C6" s="1">
        <f t="shared" si="3"/>
        <v>1</v>
      </c>
      <c r="D6" s="1">
        <f t="shared" si="1"/>
        <v>1</v>
      </c>
      <c r="E6" s="1">
        <f t="shared" si="1"/>
        <v>1</v>
      </c>
      <c r="F6" s="1">
        <f t="shared" si="2"/>
        <v>1</v>
      </c>
      <c r="G6" s="1">
        <f t="shared" si="2"/>
        <v>1</v>
      </c>
      <c r="I6" s="2" t="s">
        <v>6</v>
      </c>
      <c r="J6" s="2" t="s">
        <v>10</v>
      </c>
      <c r="K6" s="2" t="s">
        <v>11</v>
      </c>
      <c r="L6" s="2" t="s">
        <v>12</v>
      </c>
      <c r="M6" s="1">
        <v>33.700000000000003</v>
      </c>
    </row>
    <row r="7" spans="1:13" x14ac:dyDescent="0.2">
      <c r="A7">
        <v>180</v>
      </c>
      <c r="B7" s="1">
        <f t="shared" si="0"/>
        <v>1</v>
      </c>
      <c r="C7" s="1">
        <f t="shared" si="3"/>
        <v>1</v>
      </c>
      <c r="D7" s="1">
        <f t="shared" si="1"/>
        <v>1</v>
      </c>
      <c r="E7" s="1">
        <f t="shared" si="1"/>
        <v>1</v>
      </c>
      <c r="F7" s="1">
        <f t="shared" si="2"/>
        <v>1</v>
      </c>
      <c r="G7" s="1">
        <f t="shared" si="2"/>
        <v>1</v>
      </c>
      <c r="I7" s="2" t="s">
        <v>13</v>
      </c>
      <c r="J7" s="2" t="s">
        <v>10</v>
      </c>
      <c r="K7" s="2" t="s">
        <v>11</v>
      </c>
      <c r="L7" s="2" t="s">
        <v>12</v>
      </c>
      <c r="M7" s="1">
        <f>AVERAGE(M2:M6)</f>
        <v>35.839999999999996</v>
      </c>
    </row>
    <row r="8" spans="1:13" x14ac:dyDescent="0.2">
      <c r="A8">
        <v>210</v>
      </c>
      <c r="B8" s="1">
        <f t="shared" si="0"/>
        <v>1</v>
      </c>
      <c r="C8" s="1">
        <f t="shared" si="3"/>
        <v>1</v>
      </c>
      <c r="D8" s="1">
        <f t="shared" si="1"/>
        <v>1</v>
      </c>
      <c r="E8" s="1">
        <f t="shared" si="1"/>
        <v>1</v>
      </c>
      <c r="F8" s="1">
        <f t="shared" si="2"/>
        <v>1</v>
      </c>
      <c r="G8" s="1">
        <f t="shared" si="2"/>
        <v>1</v>
      </c>
    </row>
    <row r="9" spans="1:13" x14ac:dyDescent="0.2">
      <c r="A9">
        <v>240</v>
      </c>
      <c r="B9" s="1">
        <f t="shared" si="0"/>
        <v>1</v>
      </c>
      <c r="C9" s="1">
        <f t="shared" si="3"/>
        <v>1</v>
      </c>
      <c r="D9" s="1">
        <f t="shared" si="1"/>
        <v>1</v>
      </c>
      <c r="E9" s="1">
        <f t="shared" si="1"/>
        <v>1</v>
      </c>
      <c r="F9" s="1">
        <f t="shared" si="2"/>
        <v>1</v>
      </c>
      <c r="G9" s="1">
        <f t="shared" si="2"/>
        <v>1</v>
      </c>
    </row>
    <row r="10" spans="1:13" x14ac:dyDescent="0.2">
      <c r="A10">
        <v>270</v>
      </c>
      <c r="B10" s="1">
        <f t="shared" si="0"/>
        <v>1</v>
      </c>
      <c r="C10" s="1">
        <f t="shared" si="3"/>
        <v>1</v>
      </c>
      <c r="D10" s="1">
        <f t="shared" si="1"/>
        <v>1</v>
      </c>
      <c r="E10" s="1">
        <f t="shared" si="1"/>
        <v>1</v>
      </c>
      <c r="F10" s="1">
        <f t="shared" si="2"/>
        <v>1</v>
      </c>
      <c r="G10" s="1">
        <f t="shared" si="2"/>
        <v>1</v>
      </c>
    </row>
    <row r="11" spans="1:13" x14ac:dyDescent="0.2">
      <c r="A11">
        <v>300</v>
      </c>
      <c r="B11" s="1">
        <f t="shared" si="0"/>
        <v>1</v>
      </c>
      <c r="C11" s="1">
        <f t="shared" si="3"/>
        <v>1</v>
      </c>
      <c r="D11" s="1">
        <f t="shared" si="1"/>
        <v>1</v>
      </c>
      <c r="E11" s="1">
        <f t="shared" si="1"/>
        <v>1</v>
      </c>
      <c r="F11" s="1">
        <f t="shared" si="2"/>
        <v>1</v>
      </c>
      <c r="G11" s="1">
        <f t="shared" si="2"/>
        <v>1</v>
      </c>
    </row>
    <row r="12" spans="1:13" x14ac:dyDescent="0.2">
      <c r="A12">
        <v>330</v>
      </c>
      <c r="B12" s="1">
        <f t="shared" si="0"/>
        <v>1</v>
      </c>
      <c r="C12" s="1">
        <f t="shared" si="3"/>
        <v>1</v>
      </c>
      <c r="D12" s="1">
        <f t="shared" si="1"/>
        <v>1</v>
      </c>
      <c r="E12" s="1">
        <f t="shared" si="1"/>
        <v>1</v>
      </c>
      <c r="F12" s="1">
        <f t="shared" si="2"/>
        <v>1</v>
      </c>
      <c r="G12" s="1">
        <f t="shared" si="2"/>
        <v>1</v>
      </c>
    </row>
    <row r="13" spans="1:13" x14ac:dyDescent="0.2">
      <c r="A13">
        <v>360</v>
      </c>
      <c r="B13" s="1">
        <f t="shared" si="0"/>
        <v>1</v>
      </c>
      <c r="C13" s="1">
        <f t="shared" si="3"/>
        <v>1</v>
      </c>
      <c r="D13" s="1">
        <f t="shared" si="1"/>
        <v>1</v>
      </c>
      <c r="E13" s="1">
        <f t="shared" si="1"/>
        <v>1</v>
      </c>
      <c r="F13" s="1">
        <f t="shared" si="2"/>
        <v>1</v>
      </c>
      <c r="G13" s="1">
        <f t="shared" si="2"/>
        <v>1</v>
      </c>
    </row>
    <row r="14" spans="1:13" x14ac:dyDescent="0.2">
      <c r="A14">
        <v>390</v>
      </c>
      <c r="B14" s="1">
        <f t="shared" si="0"/>
        <v>1</v>
      </c>
      <c r="C14" s="1">
        <f t="shared" si="3"/>
        <v>1</v>
      </c>
      <c r="D14" s="1">
        <f t="shared" si="1"/>
        <v>1</v>
      </c>
      <c r="E14" s="1">
        <f t="shared" si="1"/>
        <v>1</v>
      </c>
      <c r="F14" s="1">
        <f t="shared" si="2"/>
        <v>1</v>
      </c>
      <c r="G14" s="1">
        <f t="shared" si="2"/>
        <v>1</v>
      </c>
    </row>
    <row r="15" spans="1:13" x14ac:dyDescent="0.2">
      <c r="A15">
        <v>420</v>
      </c>
      <c r="B15" s="1">
        <f t="shared" si="0"/>
        <v>1</v>
      </c>
      <c r="C15" s="1">
        <f t="shared" si="3"/>
        <v>1</v>
      </c>
      <c r="D15" s="1">
        <f t="shared" si="1"/>
        <v>1</v>
      </c>
      <c r="E15" s="1">
        <f t="shared" si="1"/>
        <v>1</v>
      </c>
      <c r="F15" s="1">
        <f t="shared" si="2"/>
        <v>1</v>
      </c>
      <c r="G15" s="1">
        <f t="shared" si="2"/>
        <v>1</v>
      </c>
    </row>
    <row r="16" spans="1:13" x14ac:dyDescent="0.2">
      <c r="A16">
        <v>450</v>
      </c>
      <c r="B16" s="1">
        <f t="shared" si="0"/>
        <v>1</v>
      </c>
      <c r="C16" s="1">
        <f t="shared" si="3"/>
        <v>1</v>
      </c>
      <c r="D16" s="1">
        <f t="shared" si="1"/>
        <v>1</v>
      </c>
      <c r="E16" s="1">
        <f t="shared" si="1"/>
        <v>1</v>
      </c>
      <c r="F16" s="1">
        <f t="shared" si="2"/>
        <v>1</v>
      </c>
      <c r="G16" s="1">
        <f t="shared" si="2"/>
        <v>1</v>
      </c>
    </row>
    <row r="17" spans="1:7" x14ac:dyDescent="0.2">
      <c r="A17">
        <v>480</v>
      </c>
      <c r="B17" s="1">
        <f t="shared" si="0"/>
        <v>1</v>
      </c>
      <c r="C17" s="1">
        <f t="shared" si="3"/>
        <v>1</v>
      </c>
      <c r="D17" s="1">
        <f t="shared" si="1"/>
        <v>1</v>
      </c>
      <c r="E17" s="1">
        <f t="shared" si="1"/>
        <v>1</v>
      </c>
      <c r="F17" s="1">
        <f t="shared" si="2"/>
        <v>1</v>
      </c>
      <c r="G17" s="1">
        <f t="shared" si="2"/>
        <v>1</v>
      </c>
    </row>
    <row r="18" spans="1:7" x14ac:dyDescent="0.2">
      <c r="A18">
        <v>510</v>
      </c>
      <c r="B18" s="1">
        <f t="shared" si="0"/>
        <v>1</v>
      </c>
      <c r="C18" s="1">
        <f t="shared" si="3"/>
        <v>1</v>
      </c>
      <c r="D18" s="1">
        <f t="shared" si="1"/>
        <v>1</v>
      </c>
      <c r="E18" s="1">
        <f t="shared" si="1"/>
        <v>1</v>
      </c>
      <c r="F18" s="1">
        <f t="shared" si="2"/>
        <v>1</v>
      </c>
      <c r="G18" s="1">
        <f t="shared" si="2"/>
        <v>1</v>
      </c>
    </row>
    <row r="19" spans="1:7" x14ac:dyDescent="0.2">
      <c r="A19">
        <v>540</v>
      </c>
      <c r="B19" s="1">
        <f t="shared" si="0"/>
        <v>1</v>
      </c>
      <c r="C19" s="1">
        <f t="shared" si="3"/>
        <v>1</v>
      </c>
      <c r="D19" s="1">
        <f t="shared" si="1"/>
        <v>1</v>
      </c>
      <c r="E19" s="1">
        <f t="shared" si="1"/>
        <v>1</v>
      </c>
      <c r="F19" s="1">
        <f t="shared" si="2"/>
        <v>1</v>
      </c>
      <c r="G19" s="1">
        <f t="shared" si="2"/>
        <v>1</v>
      </c>
    </row>
    <row r="20" spans="1:7" x14ac:dyDescent="0.2">
      <c r="A20">
        <v>570</v>
      </c>
      <c r="B20" s="1">
        <f t="shared" si="0"/>
        <v>1</v>
      </c>
      <c r="C20" s="1">
        <f t="shared" si="3"/>
        <v>1</v>
      </c>
      <c r="D20" s="1">
        <f t="shared" si="1"/>
        <v>1</v>
      </c>
      <c r="E20" s="1">
        <f t="shared" si="1"/>
        <v>1</v>
      </c>
      <c r="F20" s="1">
        <f t="shared" si="2"/>
        <v>1</v>
      </c>
      <c r="G20" s="1">
        <f t="shared" si="2"/>
        <v>1</v>
      </c>
    </row>
    <row r="21" spans="1:7" x14ac:dyDescent="0.2">
      <c r="A21">
        <v>600</v>
      </c>
      <c r="B21" s="1">
        <f t="shared" si="0"/>
        <v>1</v>
      </c>
      <c r="C21" s="1">
        <f t="shared" si="3"/>
        <v>1</v>
      </c>
      <c r="D21" s="1">
        <f t="shared" si="1"/>
        <v>1</v>
      </c>
      <c r="E21" s="1">
        <f t="shared" si="1"/>
        <v>1</v>
      </c>
      <c r="F21" s="1">
        <f t="shared" si="2"/>
        <v>1</v>
      </c>
      <c r="G21" s="1">
        <f t="shared" si="2"/>
        <v>1</v>
      </c>
    </row>
  </sheetData>
  <phoneticPr fontId="18" type="noConversion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56133-D0E1-9841-A980-CD948866944A}">
  <dimension ref="A1:N21"/>
  <sheetViews>
    <sheetView zoomScale="159" workbookViewId="0">
      <selection activeCell="D18" sqref="D18"/>
    </sheetView>
  </sheetViews>
  <sheetFormatPr baseColWidth="10" defaultRowHeight="16" x14ac:dyDescent="0.2"/>
  <cols>
    <col min="2" max="7" width="10.83203125" style="1"/>
    <col min="9" max="12" width="10.83203125" style="2"/>
  </cols>
  <sheetData>
    <row r="1" spans="1:14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s="2" t="s">
        <v>7</v>
      </c>
      <c r="K1" s="2" t="s">
        <v>8</v>
      </c>
      <c r="L1" s="2" t="s">
        <v>9</v>
      </c>
      <c r="M1" s="2"/>
      <c r="N1" s="2"/>
    </row>
    <row r="2" spans="1:14" x14ac:dyDescent="0.2">
      <c r="A2">
        <v>30</v>
      </c>
      <c r="B2" s="1">
        <f>AVERAGE(C2:G2)</f>
        <v>6.6666666666666666E-2</v>
      </c>
      <c r="C2" s="1">
        <f t="shared" ref="C2:E3" si="0">0/9</f>
        <v>0</v>
      </c>
      <c r="D2" s="1">
        <f t="shared" si="0"/>
        <v>0</v>
      </c>
      <c r="E2" s="1">
        <f t="shared" si="0"/>
        <v>0</v>
      </c>
      <c r="F2" s="1">
        <f>1/9</f>
        <v>0.1111111111111111</v>
      </c>
      <c r="G2" s="1">
        <f>2/9</f>
        <v>0.22222222222222221</v>
      </c>
      <c r="I2" s="2" t="s">
        <v>2</v>
      </c>
      <c r="J2" s="2" t="s">
        <v>14</v>
      </c>
      <c r="K2" s="2" t="s">
        <v>50</v>
      </c>
      <c r="L2" s="2" t="s">
        <v>51</v>
      </c>
      <c r="M2" s="2"/>
      <c r="N2" s="2"/>
    </row>
    <row r="3" spans="1:14" x14ac:dyDescent="0.2">
      <c r="A3">
        <v>60</v>
      </c>
      <c r="B3" s="1">
        <f t="shared" ref="B3:B21" si="1">AVERAGE(C3:G3)</f>
        <v>0.11111111111111112</v>
      </c>
      <c r="C3" s="1">
        <f t="shared" si="0"/>
        <v>0</v>
      </c>
      <c r="D3" s="1">
        <f t="shared" si="0"/>
        <v>0</v>
      </c>
      <c r="E3" s="1">
        <f t="shared" si="0"/>
        <v>0</v>
      </c>
      <c r="F3" s="1">
        <f t="shared" ref="F3:F8" si="2">2/9</f>
        <v>0.22222222222222221</v>
      </c>
      <c r="G3" s="1">
        <f t="shared" ref="G3:G21" si="3">3/9</f>
        <v>0.33333333333333331</v>
      </c>
      <c r="I3" s="2" t="s">
        <v>3</v>
      </c>
      <c r="J3" s="2" t="s">
        <v>14</v>
      </c>
      <c r="K3" s="2" t="s">
        <v>45</v>
      </c>
      <c r="L3" s="2" t="s">
        <v>46</v>
      </c>
      <c r="M3" s="2"/>
      <c r="N3" s="2"/>
    </row>
    <row r="4" spans="1:14" x14ac:dyDescent="0.2">
      <c r="A4">
        <v>90</v>
      </c>
      <c r="B4" s="1">
        <f t="shared" si="1"/>
        <v>0.17777777777777776</v>
      </c>
      <c r="C4" s="1">
        <f>0/9</f>
        <v>0</v>
      </c>
      <c r="D4" s="1">
        <f>2/9</f>
        <v>0.22222222222222221</v>
      </c>
      <c r="E4" s="1">
        <f>1/9</f>
        <v>0.1111111111111111</v>
      </c>
      <c r="F4" s="1">
        <f t="shared" si="2"/>
        <v>0.22222222222222221</v>
      </c>
      <c r="G4" s="1">
        <f t="shared" si="3"/>
        <v>0.33333333333333331</v>
      </c>
      <c r="I4" s="2" t="s">
        <v>4</v>
      </c>
      <c r="J4" s="2" t="s">
        <v>14</v>
      </c>
      <c r="K4" s="2" t="s">
        <v>45</v>
      </c>
      <c r="L4" s="2" t="s">
        <v>46</v>
      </c>
      <c r="M4" s="2"/>
      <c r="N4" s="2"/>
    </row>
    <row r="5" spans="1:14" x14ac:dyDescent="0.2">
      <c r="A5">
        <v>120</v>
      </c>
      <c r="B5" s="1">
        <f t="shared" si="1"/>
        <v>0.24444444444444446</v>
      </c>
      <c r="C5" s="1">
        <f>1/9</f>
        <v>0.1111111111111111</v>
      </c>
      <c r="D5" s="1">
        <f>4/9</f>
        <v>0.44444444444444442</v>
      </c>
      <c r="E5" s="1">
        <f>1/9</f>
        <v>0.1111111111111111</v>
      </c>
      <c r="F5" s="1">
        <f t="shared" si="2"/>
        <v>0.22222222222222221</v>
      </c>
      <c r="G5" s="1">
        <f t="shared" si="3"/>
        <v>0.33333333333333331</v>
      </c>
      <c r="I5" s="2" t="s">
        <v>5</v>
      </c>
      <c r="J5" s="2" t="s">
        <v>14</v>
      </c>
      <c r="K5" s="2" t="s">
        <v>47</v>
      </c>
      <c r="L5" s="2" t="s">
        <v>48</v>
      </c>
      <c r="M5" s="2"/>
      <c r="N5" s="2"/>
    </row>
    <row r="6" spans="1:14" x14ac:dyDescent="0.2">
      <c r="A6">
        <v>150</v>
      </c>
      <c r="B6" s="1">
        <f t="shared" si="1"/>
        <v>0.24444444444444446</v>
      </c>
      <c r="C6" s="1">
        <f>1/9</f>
        <v>0.1111111111111111</v>
      </c>
      <c r="D6" s="1">
        <f t="shared" ref="D6:F21" si="4">4/9</f>
        <v>0.44444444444444442</v>
      </c>
      <c r="E6" s="1">
        <f>1/9</f>
        <v>0.1111111111111111</v>
      </c>
      <c r="F6" s="1">
        <f t="shared" si="2"/>
        <v>0.22222222222222221</v>
      </c>
      <c r="G6" s="1">
        <f t="shared" si="3"/>
        <v>0.33333333333333331</v>
      </c>
      <c r="I6" s="2" t="s">
        <v>6</v>
      </c>
      <c r="J6" s="2" t="s">
        <v>14</v>
      </c>
      <c r="K6" s="2" t="s">
        <v>44</v>
      </c>
      <c r="L6" s="2" t="s">
        <v>49</v>
      </c>
      <c r="M6" s="2"/>
      <c r="N6" s="2"/>
    </row>
    <row r="7" spans="1:14" x14ac:dyDescent="0.2">
      <c r="A7">
        <v>180</v>
      </c>
      <c r="B7" s="1">
        <f t="shared" si="1"/>
        <v>0.26666666666666666</v>
      </c>
      <c r="C7" s="1">
        <f t="shared" ref="C7:C21" si="5">2/9</f>
        <v>0.22222222222222221</v>
      </c>
      <c r="D7" s="1">
        <f t="shared" si="4"/>
        <v>0.44444444444444442</v>
      </c>
      <c r="E7" s="1">
        <f>1/9</f>
        <v>0.1111111111111111</v>
      </c>
      <c r="F7" s="1">
        <f t="shared" si="2"/>
        <v>0.22222222222222221</v>
      </c>
      <c r="G7" s="1">
        <f t="shared" si="3"/>
        <v>0.33333333333333331</v>
      </c>
      <c r="I7" s="2" t="s">
        <v>13</v>
      </c>
      <c r="J7" s="2" t="s">
        <v>14</v>
      </c>
      <c r="K7" s="2" t="s">
        <v>52</v>
      </c>
      <c r="L7" s="2" t="s">
        <v>53</v>
      </c>
      <c r="M7" s="2"/>
      <c r="N7" s="2"/>
    </row>
    <row r="8" spans="1:14" x14ac:dyDescent="0.2">
      <c r="A8">
        <v>210</v>
      </c>
      <c r="B8" s="1">
        <f t="shared" si="1"/>
        <v>0.26666666666666666</v>
      </c>
      <c r="C8" s="1">
        <f t="shared" si="5"/>
        <v>0.22222222222222221</v>
      </c>
      <c r="D8" s="1">
        <f t="shared" si="4"/>
        <v>0.44444444444444442</v>
      </c>
      <c r="E8" s="1">
        <f>1/9</f>
        <v>0.1111111111111111</v>
      </c>
      <c r="F8" s="1">
        <f t="shared" si="2"/>
        <v>0.22222222222222221</v>
      </c>
      <c r="G8" s="1">
        <f t="shared" si="3"/>
        <v>0.33333333333333331</v>
      </c>
    </row>
    <row r="9" spans="1:14" x14ac:dyDescent="0.2">
      <c r="A9">
        <v>240</v>
      </c>
      <c r="B9" s="1">
        <f t="shared" si="1"/>
        <v>0.31111111111111106</v>
      </c>
      <c r="C9" s="1">
        <f t="shared" si="5"/>
        <v>0.22222222222222221</v>
      </c>
      <c r="D9" s="1">
        <f t="shared" si="4"/>
        <v>0.44444444444444442</v>
      </c>
      <c r="E9" s="1">
        <f>2/9</f>
        <v>0.22222222222222221</v>
      </c>
      <c r="F9" s="1">
        <f t="shared" ref="F9:F14" si="6">3/9</f>
        <v>0.33333333333333331</v>
      </c>
      <c r="G9" s="1">
        <f t="shared" si="3"/>
        <v>0.33333333333333331</v>
      </c>
    </row>
    <row r="10" spans="1:14" x14ac:dyDescent="0.2">
      <c r="A10">
        <v>270</v>
      </c>
      <c r="B10" s="1">
        <f t="shared" si="1"/>
        <v>0.31111111111111106</v>
      </c>
      <c r="C10" s="1">
        <f t="shared" si="5"/>
        <v>0.22222222222222221</v>
      </c>
      <c r="D10" s="1">
        <f t="shared" si="4"/>
        <v>0.44444444444444442</v>
      </c>
      <c r="E10" s="1">
        <f>2/9</f>
        <v>0.22222222222222221</v>
      </c>
      <c r="F10" s="1">
        <f t="shared" si="6"/>
        <v>0.33333333333333331</v>
      </c>
      <c r="G10" s="1">
        <f t="shared" si="3"/>
        <v>0.33333333333333331</v>
      </c>
    </row>
    <row r="11" spans="1:14" x14ac:dyDescent="0.2">
      <c r="A11">
        <v>300</v>
      </c>
      <c r="B11" s="1">
        <f t="shared" si="1"/>
        <v>0.33333333333333331</v>
      </c>
      <c r="C11" s="1">
        <f t="shared" si="5"/>
        <v>0.22222222222222221</v>
      </c>
      <c r="D11" s="1">
        <f t="shared" si="4"/>
        <v>0.44444444444444442</v>
      </c>
      <c r="E11" s="1">
        <f>3/9</f>
        <v>0.33333333333333331</v>
      </c>
      <c r="F11" s="1">
        <f t="shared" si="6"/>
        <v>0.33333333333333331</v>
      </c>
      <c r="G11" s="1">
        <f t="shared" si="3"/>
        <v>0.33333333333333331</v>
      </c>
    </row>
    <row r="12" spans="1:14" x14ac:dyDescent="0.2">
      <c r="A12">
        <v>330</v>
      </c>
      <c r="B12" s="1">
        <f t="shared" si="1"/>
        <v>0.35555555555555551</v>
      </c>
      <c r="C12" s="1">
        <f t="shared" si="5"/>
        <v>0.22222222222222221</v>
      </c>
      <c r="D12" s="1">
        <f t="shared" si="4"/>
        <v>0.44444444444444442</v>
      </c>
      <c r="E12" s="1">
        <f t="shared" si="4"/>
        <v>0.44444444444444442</v>
      </c>
      <c r="F12" s="1">
        <f t="shared" si="6"/>
        <v>0.33333333333333331</v>
      </c>
      <c r="G12" s="1">
        <f t="shared" si="3"/>
        <v>0.33333333333333331</v>
      </c>
    </row>
    <row r="13" spans="1:14" x14ac:dyDescent="0.2">
      <c r="A13">
        <v>360</v>
      </c>
      <c r="B13" s="1">
        <f t="shared" si="1"/>
        <v>0.35555555555555551</v>
      </c>
      <c r="C13" s="1">
        <f t="shared" si="5"/>
        <v>0.22222222222222221</v>
      </c>
      <c r="D13" s="1">
        <f t="shared" si="4"/>
        <v>0.44444444444444442</v>
      </c>
      <c r="E13" s="1">
        <f t="shared" si="4"/>
        <v>0.44444444444444442</v>
      </c>
      <c r="F13" s="1">
        <f t="shared" si="6"/>
        <v>0.33333333333333331</v>
      </c>
      <c r="G13" s="1">
        <f t="shared" si="3"/>
        <v>0.33333333333333331</v>
      </c>
    </row>
    <row r="14" spans="1:14" x14ac:dyDescent="0.2">
      <c r="A14">
        <v>390</v>
      </c>
      <c r="B14" s="1">
        <f t="shared" si="1"/>
        <v>0.35555555555555551</v>
      </c>
      <c r="C14" s="1">
        <f t="shared" si="5"/>
        <v>0.22222222222222221</v>
      </c>
      <c r="D14" s="1">
        <f t="shared" si="4"/>
        <v>0.44444444444444442</v>
      </c>
      <c r="E14" s="1">
        <f t="shared" si="4"/>
        <v>0.44444444444444442</v>
      </c>
      <c r="F14" s="1">
        <f t="shared" si="6"/>
        <v>0.33333333333333331</v>
      </c>
      <c r="G14" s="1">
        <f t="shared" si="3"/>
        <v>0.33333333333333331</v>
      </c>
    </row>
    <row r="15" spans="1:14" x14ac:dyDescent="0.2">
      <c r="A15">
        <v>420</v>
      </c>
      <c r="B15" s="1">
        <f t="shared" si="1"/>
        <v>0.37777777777777777</v>
      </c>
      <c r="C15" s="1">
        <f t="shared" si="5"/>
        <v>0.22222222222222221</v>
      </c>
      <c r="D15" s="1">
        <f t="shared" si="4"/>
        <v>0.44444444444444442</v>
      </c>
      <c r="E15" s="1">
        <f t="shared" si="4"/>
        <v>0.44444444444444442</v>
      </c>
      <c r="F15" s="1">
        <f t="shared" si="4"/>
        <v>0.44444444444444442</v>
      </c>
      <c r="G15" s="1">
        <f t="shared" si="3"/>
        <v>0.33333333333333331</v>
      </c>
    </row>
    <row r="16" spans="1:14" x14ac:dyDescent="0.2">
      <c r="A16">
        <v>450</v>
      </c>
      <c r="B16" s="1">
        <f t="shared" si="1"/>
        <v>0.37777777777777777</v>
      </c>
      <c r="C16" s="1">
        <f t="shared" si="5"/>
        <v>0.22222222222222221</v>
      </c>
      <c r="D16" s="1">
        <f t="shared" si="4"/>
        <v>0.44444444444444442</v>
      </c>
      <c r="E16" s="1">
        <f t="shared" si="4"/>
        <v>0.44444444444444442</v>
      </c>
      <c r="F16" s="1">
        <f t="shared" si="4"/>
        <v>0.44444444444444442</v>
      </c>
      <c r="G16" s="1">
        <f t="shared" si="3"/>
        <v>0.33333333333333331</v>
      </c>
    </row>
    <row r="17" spans="1:7" x14ac:dyDescent="0.2">
      <c r="A17">
        <v>480</v>
      </c>
      <c r="B17" s="1">
        <f t="shared" si="1"/>
        <v>0.37777777777777777</v>
      </c>
      <c r="C17" s="1">
        <f t="shared" si="5"/>
        <v>0.22222222222222221</v>
      </c>
      <c r="D17" s="1">
        <f t="shared" si="4"/>
        <v>0.44444444444444442</v>
      </c>
      <c r="E17" s="1">
        <f t="shared" si="4"/>
        <v>0.44444444444444442</v>
      </c>
      <c r="F17" s="1">
        <f t="shared" si="4"/>
        <v>0.44444444444444442</v>
      </c>
      <c r="G17" s="1">
        <f t="shared" si="3"/>
        <v>0.33333333333333331</v>
      </c>
    </row>
    <row r="18" spans="1:7" x14ac:dyDescent="0.2">
      <c r="A18">
        <v>510</v>
      </c>
      <c r="B18" s="1">
        <f t="shared" si="1"/>
        <v>0.37777777777777777</v>
      </c>
      <c r="C18" s="1">
        <f t="shared" si="5"/>
        <v>0.22222222222222221</v>
      </c>
      <c r="D18" s="1">
        <f t="shared" si="4"/>
        <v>0.44444444444444442</v>
      </c>
      <c r="E18" s="1">
        <f t="shared" si="4"/>
        <v>0.44444444444444442</v>
      </c>
      <c r="F18" s="1">
        <f t="shared" si="4"/>
        <v>0.44444444444444442</v>
      </c>
      <c r="G18" s="1">
        <f t="shared" si="3"/>
        <v>0.33333333333333331</v>
      </c>
    </row>
    <row r="19" spans="1:7" x14ac:dyDescent="0.2">
      <c r="A19">
        <v>540</v>
      </c>
      <c r="B19" s="1">
        <f t="shared" si="1"/>
        <v>0.37777777777777777</v>
      </c>
      <c r="C19" s="1">
        <f t="shared" si="5"/>
        <v>0.22222222222222221</v>
      </c>
      <c r="D19" s="1">
        <f t="shared" si="4"/>
        <v>0.44444444444444442</v>
      </c>
      <c r="E19" s="1">
        <f t="shared" si="4"/>
        <v>0.44444444444444442</v>
      </c>
      <c r="F19" s="1">
        <f t="shared" si="4"/>
        <v>0.44444444444444442</v>
      </c>
      <c r="G19" s="1">
        <f t="shared" si="3"/>
        <v>0.33333333333333331</v>
      </c>
    </row>
    <row r="20" spans="1:7" x14ac:dyDescent="0.2">
      <c r="A20">
        <v>570</v>
      </c>
      <c r="B20" s="1">
        <f t="shared" si="1"/>
        <v>0.37777777777777777</v>
      </c>
      <c r="C20" s="1">
        <f t="shared" si="5"/>
        <v>0.22222222222222221</v>
      </c>
      <c r="D20" s="1">
        <f t="shared" si="4"/>
        <v>0.44444444444444442</v>
      </c>
      <c r="E20" s="1">
        <f t="shared" si="4"/>
        <v>0.44444444444444442</v>
      </c>
      <c r="F20" s="1">
        <f t="shared" si="4"/>
        <v>0.44444444444444442</v>
      </c>
      <c r="G20" s="1">
        <f t="shared" si="3"/>
        <v>0.33333333333333331</v>
      </c>
    </row>
    <row r="21" spans="1:7" x14ac:dyDescent="0.2">
      <c r="A21">
        <v>600</v>
      </c>
      <c r="B21" s="1">
        <f t="shared" si="1"/>
        <v>0.4</v>
      </c>
      <c r="C21" s="1">
        <f t="shared" si="5"/>
        <v>0.22222222222222221</v>
      </c>
      <c r="D21" s="1">
        <f t="shared" si="4"/>
        <v>0.44444444444444442</v>
      </c>
      <c r="E21" s="1">
        <f t="shared" si="4"/>
        <v>0.44444444444444442</v>
      </c>
      <c r="F21" s="1">
        <f>5/9</f>
        <v>0.55555555555555558</v>
      </c>
      <c r="G21" s="1">
        <f t="shared" si="3"/>
        <v>0.33333333333333331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936B2-1676-F940-AF23-CB2DF196DD0F}">
  <dimension ref="A1:M21"/>
  <sheetViews>
    <sheetView zoomScale="165" workbookViewId="0">
      <selection activeCell="B2" sqref="B2"/>
    </sheetView>
  </sheetViews>
  <sheetFormatPr baseColWidth="10" defaultRowHeight="16" x14ac:dyDescent="0.2"/>
  <cols>
    <col min="2" max="7" width="10.83203125" style="1"/>
  </cols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0.625</v>
      </c>
      <c r="C2" s="1">
        <f>7/8</f>
        <v>0.875</v>
      </c>
      <c r="D2" s="1">
        <f>4/8</f>
        <v>0.5</v>
      </c>
      <c r="E2" s="1">
        <f>4/8</f>
        <v>0.5</v>
      </c>
      <c r="F2" s="1">
        <f>4/8</f>
        <v>0.5</v>
      </c>
      <c r="G2" s="1">
        <f>6/8</f>
        <v>0.75</v>
      </c>
      <c r="I2" s="2" t="s">
        <v>2</v>
      </c>
      <c r="J2" s="2" t="s">
        <v>15</v>
      </c>
      <c r="K2" s="2" t="s">
        <v>16</v>
      </c>
      <c r="L2" s="2" t="s">
        <v>11</v>
      </c>
      <c r="M2" s="1">
        <v>30.2</v>
      </c>
    </row>
    <row r="3" spans="1:13" x14ac:dyDescent="0.2">
      <c r="A3">
        <v>60</v>
      </c>
      <c r="B3" s="1">
        <f t="shared" ref="B3:B21" si="0">AVERAGE(C3:G3)</f>
        <v>1</v>
      </c>
      <c r="C3" s="1">
        <f>8/8</f>
        <v>1</v>
      </c>
      <c r="D3" s="1">
        <f>8/8</f>
        <v>1</v>
      </c>
      <c r="E3" s="1">
        <f>8/8</f>
        <v>1</v>
      </c>
      <c r="F3" s="1">
        <f>8/8</f>
        <v>1</v>
      </c>
      <c r="G3" s="1">
        <f>8/8</f>
        <v>1</v>
      </c>
      <c r="I3" s="2" t="s">
        <v>3</v>
      </c>
      <c r="J3" s="2" t="s">
        <v>15</v>
      </c>
      <c r="K3" s="2" t="s">
        <v>16</v>
      </c>
      <c r="L3" s="2" t="s">
        <v>11</v>
      </c>
      <c r="M3" s="1">
        <v>34.5</v>
      </c>
    </row>
    <row r="4" spans="1:13" x14ac:dyDescent="0.2">
      <c r="A4">
        <v>90</v>
      </c>
      <c r="B4" s="1">
        <f t="shared" si="0"/>
        <v>1</v>
      </c>
      <c r="C4" s="1">
        <f t="shared" ref="C4:G21" si="1">8/8</f>
        <v>1</v>
      </c>
      <c r="D4" s="1">
        <f t="shared" si="1"/>
        <v>1</v>
      </c>
      <c r="E4" s="1">
        <f t="shared" si="1"/>
        <v>1</v>
      </c>
      <c r="F4" s="1">
        <f t="shared" si="1"/>
        <v>1</v>
      </c>
      <c r="G4" s="1">
        <f t="shared" si="1"/>
        <v>1</v>
      </c>
      <c r="I4" s="2" t="s">
        <v>4</v>
      </c>
      <c r="J4" s="2" t="s">
        <v>15</v>
      </c>
      <c r="K4" s="2" t="s">
        <v>16</v>
      </c>
      <c r="L4" s="2" t="s">
        <v>11</v>
      </c>
      <c r="M4" s="1">
        <v>34.4</v>
      </c>
    </row>
    <row r="5" spans="1:13" x14ac:dyDescent="0.2">
      <c r="A5">
        <v>120</v>
      </c>
      <c r="B5" s="1">
        <f t="shared" si="0"/>
        <v>1</v>
      </c>
      <c r="C5" s="1">
        <f t="shared" si="1"/>
        <v>1</v>
      </c>
      <c r="D5" s="1">
        <f t="shared" si="1"/>
        <v>1</v>
      </c>
      <c r="E5" s="1">
        <f t="shared" si="1"/>
        <v>1</v>
      </c>
      <c r="F5" s="1">
        <f t="shared" si="1"/>
        <v>1</v>
      </c>
      <c r="G5" s="1">
        <f t="shared" si="1"/>
        <v>1</v>
      </c>
      <c r="I5" s="2" t="s">
        <v>5</v>
      </c>
      <c r="J5" s="2" t="s">
        <v>15</v>
      </c>
      <c r="K5" s="2" t="s">
        <v>16</v>
      </c>
      <c r="L5" s="2" t="s">
        <v>11</v>
      </c>
      <c r="M5" s="1">
        <v>34.5</v>
      </c>
    </row>
    <row r="6" spans="1:13" x14ac:dyDescent="0.2">
      <c r="A6">
        <v>150</v>
      </c>
      <c r="B6" s="1">
        <f t="shared" si="0"/>
        <v>1</v>
      </c>
      <c r="C6" s="1">
        <f t="shared" si="1"/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I6" s="2" t="s">
        <v>6</v>
      </c>
      <c r="J6" s="2" t="s">
        <v>15</v>
      </c>
      <c r="K6" s="2" t="s">
        <v>16</v>
      </c>
      <c r="L6" s="2" t="s">
        <v>11</v>
      </c>
      <c r="M6" s="1">
        <v>34.6</v>
      </c>
    </row>
    <row r="7" spans="1:13" x14ac:dyDescent="0.2">
      <c r="A7">
        <v>180</v>
      </c>
      <c r="B7" s="1">
        <f t="shared" si="0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I7" s="2" t="s">
        <v>13</v>
      </c>
      <c r="J7" s="2" t="s">
        <v>15</v>
      </c>
      <c r="K7" s="2" t="s">
        <v>16</v>
      </c>
      <c r="L7" s="2" t="s">
        <v>11</v>
      </c>
      <c r="M7" s="1">
        <f>AVERAGE(M2:M6)</f>
        <v>33.64</v>
      </c>
    </row>
    <row r="8" spans="1:13" x14ac:dyDescent="0.2">
      <c r="A8">
        <v>210</v>
      </c>
      <c r="B8" s="1">
        <f t="shared" si="0"/>
        <v>1</v>
      </c>
      <c r="C8" s="1">
        <f t="shared" si="1"/>
        <v>1</v>
      </c>
      <c r="D8" s="1">
        <f t="shared" si="1"/>
        <v>1</v>
      </c>
      <c r="E8" s="1">
        <f t="shared" si="1"/>
        <v>1</v>
      </c>
      <c r="F8" s="1">
        <f t="shared" si="1"/>
        <v>1</v>
      </c>
      <c r="G8" s="1">
        <f t="shared" si="1"/>
        <v>1</v>
      </c>
    </row>
    <row r="9" spans="1:13" x14ac:dyDescent="0.2">
      <c r="A9">
        <v>240</v>
      </c>
      <c r="B9" s="1">
        <f t="shared" si="0"/>
        <v>1</v>
      </c>
      <c r="C9" s="1">
        <f t="shared" si="1"/>
        <v>1</v>
      </c>
      <c r="D9" s="1">
        <f t="shared" si="1"/>
        <v>1</v>
      </c>
      <c r="E9" s="1">
        <f t="shared" si="1"/>
        <v>1</v>
      </c>
      <c r="F9" s="1">
        <f t="shared" si="1"/>
        <v>1</v>
      </c>
      <c r="G9" s="1">
        <f t="shared" si="1"/>
        <v>1</v>
      </c>
    </row>
    <row r="10" spans="1:13" x14ac:dyDescent="0.2">
      <c r="A10">
        <v>270</v>
      </c>
      <c r="B10" s="1">
        <f t="shared" si="0"/>
        <v>1</v>
      </c>
      <c r="C10" s="1">
        <f t="shared" si="1"/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</row>
    <row r="17" spans="1:7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</row>
    <row r="18" spans="1:7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</row>
    <row r="19" spans="1:7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</row>
    <row r="20" spans="1:7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</row>
    <row r="21" spans="1:7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C60EC-A1F1-6E44-A987-52E44B65BC70}">
  <dimension ref="A1:M21"/>
  <sheetViews>
    <sheetView zoomScale="150" workbookViewId="0">
      <selection activeCell="B2" sqref="B2:B21"/>
    </sheetView>
  </sheetViews>
  <sheetFormatPr baseColWidth="10" defaultRowHeight="16" x14ac:dyDescent="0.2"/>
  <cols>
    <col min="2" max="7" width="10.83203125" style="1"/>
  </cols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/>
    </row>
    <row r="2" spans="1:13" x14ac:dyDescent="0.2">
      <c r="A2">
        <v>30</v>
      </c>
      <c r="B2" s="1">
        <f>AVERAGE(C2:G2)</f>
        <v>7.4999999999999997E-2</v>
      </c>
      <c r="C2" s="1">
        <f>1/8</f>
        <v>0.125</v>
      </c>
      <c r="D2" s="1">
        <f>1/8</f>
        <v>0.125</v>
      </c>
      <c r="E2" s="1">
        <f>1/8</f>
        <v>0.125</v>
      </c>
      <c r="F2" s="1">
        <f>0/8</f>
        <v>0</v>
      </c>
      <c r="G2" s="1">
        <f>0/8</f>
        <v>0</v>
      </c>
      <c r="I2" s="2" t="s">
        <v>2</v>
      </c>
      <c r="J2" s="2" t="s">
        <v>54</v>
      </c>
      <c r="K2" s="2" t="s">
        <v>55</v>
      </c>
      <c r="L2" s="2" t="s">
        <v>50</v>
      </c>
      <c r="M2" s="1"/>
    </row>
    <row r="3" spans="1:13" x14ac:dyDescent="0.2">
      <c r="A3">
        <v>60</v>
      </c>
      <c r="B3" s="1">
        <f t="shared" ref="B3:B21" si="0">AVERAGE(C3:G3)</f>
        <v>7.4999999999999997E-2</v>
      </c>
      <c r="C3" s="1">
        <f>1/8</f>
        <v>0.125</v>
      </c>
      <c r="D3" s="1">
        <f t="shared" ref="D3:D9" si="1">1/8</f>
        <v>0.125</v>
      </c>
      <c r="E3" s="1">
        <f>1/8</f>
        <v>0.125</v>
      </c>
      <c r="F3" s="1">
        <f>0/8</f>
        <v>0</v>
      </c>
      <c r="G3" s="1">
        <f>0/8</f>
        <v>0</v>
      </c>
      <c r="I3" s="2" t="s">
        <v>3</v>
      </c>
      <c r="J3" s="2" t="s">
        <v>15</v>
      </c>
      <c r="K3" s="2" t="s">
        <v>56</v>
      </c>
      <c r="L3" s="2" t="s">
        <v>44</v>
      </c>
      <c r="M3" s="1"/>
    </row>
    <row r="4" spans="1:13" x14ac:dyDescent="0.2">
      <c r="A4">
        <v>90</v>
      </c>
      <c r="B4" s="1">
        <f t="shared" si="0"/>
        <v>0.125</v>
      </c>
      <c r="C4" s="1">
        <f>1/8</f>
        <v>0.125</v>
      </c>
      <c r="D4" s="1">
        <f t="shared" si="1"/>
        <v>0.125</v>
      </c>
      <c r="E4" s="1">
        <f>2/8</f>
        <v>0.25</v>
      </c>
      <c r="F4" s="1">
        <f>1/8</f>
        <v>0.125</v>
      </c>
      <c r="G4" s="1">
        <f>0/8</f>
        <v>0</v>
      </c>
      <c r="I4" s="2" t="s">
        <v>4</v>
      </c>
      <c r="J4" s="2" t="s">
        <v>15</v>
      </c>
      <c r="K4" s="2" t="s">
        <v>55</v>
      </c>
      <c r="L4" s="2" t="s">
        <v>50</v>
      </c>
      <c r="M4" s="1"/>
    </row>
    <row r="5" spans="1:13" x14ac:dyDescent="0.2">
      <c r="A5">
        <v>120</v>
      </c>
      <c r="B5" s="1">
        <f t="shared" si="0"/>
        <v>0.15</v>
      </c>
      <c r="C5" s="1">
        <f>1/8</f>
        <v>0.125</v>
      </c>
      <c r="D5" s="1">
        <f t="shared" si="1"/>
        <v>0.125</v>
      </c>
      <c r="E5" s="1">
        <f t="shared" ref="E5:E21" si="2">2/8</f>
        <v>0.25</v>
      </c>
      <c r="F5" s="1">
        <f>2/8</f>
        <v>0.25</v>
      </c>
      <c r="G5" s="1">
        <f>0/8</f>
        <v>0</v>
      </c>
      <c r="I5" s="2" t="s">
        <v>5</v>
      </c>
      <c r="J5" s="2" t="s">
        <v>15</v>
      </c>
      <c r="K5" s="2" t="s">
        <v>56</v>
      </c>
      <c r="L5" s="2" t="s">
        <v>44</v>
      </c>
      <c r="M5" s="1"/>
    </row>
    <row r="6" spans="1:13" x14ac:dyDescent="0.2">
      <c r="A6">
        <v>150</v>
      </c>
      <c r="B6" s="1">
        <f t="shared" si="0"/>
        <v>0.17499999999999999</v>
      </c>
      <c r="C6" s="1">
        <f>2/8</f>
        <v>0.25</v>
      </c>
      <c r="D6" s="1">
        <f t="shared" si="1"/>
        <v>0.125</v>
      </c>
      <c r="E6" s="1">
        <f t="shared" si="2"/>
        <v>0.25</v>
      </c>
      <c r="F6" s="1">
        <f>2/8</f>
        <v>0.25</v>
      </c>
      <c r="G6" s="1">
        <f>0/8</f>
        <v>0</v>
      </c>
      <c r="I6" s="2" t="s">
        <v>6</v>
      </c>
      <c r="J6" s="2" t="s">
        <v>15</v>
      </c>
      <c r="K6" s="2" t="s">
        <v>56</v>
      </c>
      <c r="L6" s="2" t="s">
        <v>44</v>
      </c>
      <c r="M6" s="1"/>
    </row>
    <row r="7" spans="1:13" x14ac:dyDescent="0.2">
      <c r="A7">
        <v>180</v>
      </c>
      <c r="B7" s="1">
        <f t="shared" si="0"/>
        <v>0.2</v>
      </c>
      <c r="C7" s="1">
        <f t="shared" ref="C7:C21" si="3">2/8</f>
        <v>0.25</v>
      </c>
      <c r="D7" s="1">
        <f t="shared" si="1"/>
        <v>0.125</v>
      </c>
      <c r="E7" s="1">
        <f t="shared" si="2"/>
        <v>0.25</v>
      </c>
      <c r="F7" s="1">
        <f>3/8</f>
        <v>0.375</v>
      </c>
      <c r="G7" s="1">
        <f>0/8</f>
        <v>0</v>
      </c>
      <c r="I7" s="2" t="s">
        <v>13</v>
      </c>
      <c r="J7" s="2" t="s">
        <v>15</v>
      </c>
      <c r="K7" s="2" t="s">
        <v>57</v>
      </c>
      <c r="L7" s="2" t="s">
        <v>58</v>
      </c>
      <c r="M7" s="1"/>
    </row>
    <row r="8" spans="1:13" x14ac:dyDescent="0.2">
      <c r="A8">
        <v>210</v>
      </c>
      <c r="B8" s="1">
        <f t="shared" si="0"/>
        <v>0.2</v>
      </c>
      <c r="C8" s="1">
        <f t="shared" si="3"/>
        <v>0.25</v>
      </c>
      <c r="D8" s="1">
        <f t="shared" si="1"/>
        <v>0.125</v>
      </c>
      <c r="E8" s="1">
        <f t="shared" si="2"/>
        <v>0.25</v>
      </c>
      <c r="F8" s="1">
        <f t="shared" ref="F8:G21" si="4">3/8</f>
        <v>0.375</v>
      </c>
      <c r="G8" s="1">
        <f>0/8</f>
        <v>0</v>
      </c>
    </row>
    <row r="9" spans="1:13" x14ac:dyDescent="0.2">
      <c r="A9">
        <v>240</v>
      </c>
      <c r="B9" s="1">
        <f t="shared" si="0"/>
        <v>0.2</v>
      </c>
      <c r="C9" s="1">
        <f t="shared" si="3"/>
        <v>0.25</v>
      </c>
      <c r="D9" s="1">
        <f t="shared" si="1"/>
        <v>0.125</v>
      </c>
      <c r="E9" s="1">
        <f t="shared" si="2"/>
        <v>0.25</v>
      </c>
      <c r="F9" s="1">
        <f t="shared" si="4"/>
        <v>0.375</v>
      </c>
      <c r="G9" s="1">
        <f>0/8</f>
        <v>0</v>
      </c>
    </row>
    <row r="10" spans="1:13" x14ac:dyDescent="0.2">
      <c r="A10">
        <v>270</v>
      </c>
      <c r="B10" s="1">
        <f t="shared" si="0"/>
        <v>0.25</v>
      </c>
      <c r="C10" s="1">
        <f t="shared" si="3"/>
        <v>0.25</v>
      </c>
      <c r="D10" s="1">
        <f>2/8</f>
        <v>0.25</v>
      </c>
      <c r="E10" s="1">
        <f t="shared" si="2"/>
        <v>0.25</v>
      </c>
      <c r="F10" s="1">
        <f t="shared" si="4"/>
        <v>0.375</v>
      </c>
      <c r="G10" s="1">
        <f>1/8</f>
        <v>0.125</v>
      </c>
    </row>
    <row r="11" spans="1:13" x14ac:dyDescent="0.2">
      <c r="A11">
        <v>300</v>
      </c>
      <c r="B11" s="1">
        <f t="shared" si="0"/>
        <v>0.32500000000000001</v>
      </c>
      <c r="C11" s="1">
        <f t="shared" si="3"/>
        <v>0.25</v>
      </c>
      <c r="D11" s="1">
        <f>3/8</f>
        <v>0.375</v>
      </c>
      <c r="E11" s="1">
        <f t="shared" si="2"/>
        <v>0.25</v>
      </c>
      <c r="F11" s="1">
        <f t="shared" si="4"/>
        <v>0.375</v>
      </c>
      <c r="G11" s="1">
        <f>3/8</f>
        <v>0.375</v>
      </c>
    </row>
    <row r="12" spans="1:13" x14ac:dyDescent="0.2">
      <c r="A12">
        <v>330</v>
      </c>
      <c r="B12" s="1">
        <f t="shared" si="0"/>
        <v>0.32500000000000001</v>
      </c>
      <c r="C12" s="1">
        <f t="shared" si="3"/>
        <v>0.25</v>
      </c>
      <c r="D12" s="1">
        <f t="shared" ref="D12:D21" si="5">3/8</f>
        <v>0.375</v>
      </c>
      <c r="E12" s="1">
        <f t="shared" si="2"/>
        <v>0.25</v>
      </c>
      <c r="F12" s="1">
        <f t="shared" si="4"/>
        <v>0.375</v>
      </c>
      <c r="G12" s="1">
        <f t="shared" si="4"/>
        <v>0.375</v>
      </c>
    </row>
    <row r="13" spans="1:13" x14ac:dyDescent="0.2">
      <c r="A13">
        <v>360</v>
      </c>
      <c r="B13" s="1">
        <f t="shared" si="0"/>
        <v>0.32500000000000001</v>
      </c>
      <c r="C13" s="1">
        <f t="shared" si="3"/>
        <v>0.25</v>
      </c>
      <c r="D13" s="1">
        <f t="shared" si="5"/>
        <v>0.375</v>
      </c>
      <c r="E13" s="1">
        <f t="shared" si="2"/>
        <v>0.25</v>
      </c>
      <c r="F13" s="1">
        <f t="shared" si="4"/>
        <v>0.375</v>
      </c>
      <c r="G13" s="1">
        <f t="shared" si="4"/>
        <v>0.375</v>
      </c>
    </row>
    <row r="14" spans="1:13" x14ac:dyDescent="0.2">
      <c r="A14">
        <v>390</v>
      </c>
      <c r="B14" s="1">
        <f t="shared" si="0"/>
        <v>0.32500000000000001</v>
      </c>
      <c r="C14" s="1">
        <f t="shared" si="3"/>
        <v>0.25</v>
      </c>
      <c r="D14" s="1">
        <f t="shared" si="5"/>
        <v>0.375</v>
      </c>
      <c r="E14" s="1">
        <f t="shared" si="2"/>
        <v>0.25</v>
      </c>
      <c r="F14" s="1">
        <f t="shared" si="4"/>
        <v>0.375</v>
      </c>
      <c r="G14" s="1">
        <f t="shared" si="4"/>
        <v>0.375</v>
      </c>
    </row>
    <row r="15" spans="1:13" x14ac:dyDescent="0.2">
      <c r="A15">
        <v>420</v>
      </c>
      <c r="B15" s="1">
        <f t="shared" si="0"/>
        <v>0.32500000000000001</v>
      </c>
      <c r="C15" s="1">
        <f t="shared" si="3"/>
        <v>0.25</v>
      </c>
      <c r="D15" s="1">
        <f t="shared" si="5"/>
        <v>0.375</v>
      </c>
      <c r="E15" s="1">
        <f t="shared" si="2"/>
        <v>0.25</v>
      </c>
      <c r="F15" s="1">
        <f t="shared" si="4"/>
        <v>0.375</v>
      </c>
      <c r="G15" s="1">
        <f t="shared" si="4"/>
        <v>0.375</v>
      </c>
    </row>
    <row r="16" spans="1:13" x14ac:dyDescent="0.2">
      <c r="A16">
        <v>450</v>
      </c>
      <c r="B16" s="1">
        <f t="shared" si="0"/>
        <v>0.32500000000000001</v>
      </c>
      <c r="C16" s="1">
        <f t="shared" si="3"/>
        <v>0.25</v>
      </c>
      <c r="D16" s="1">
        <f t="shared" si="5"/>
        <v>0.375</v>
      </c>
      <c r="E16" s="1">
        <f t="shared" si="2"/>
        <v>0.25</v>
      </c>
      <c r="F16" s="1">
        <f t="shared" si="4"/>
        <v>0.375</v>
      </c>
      <c r="G16" s="1">
        <f t="shared" si="4"/>
        <v>0.375</v>
      </c>
    </row>
    <row r="17" spans="1:7" x14ac:dyDescent="0.2">
      <c r="A17">
        <v>480</v>
      </c>
      <c r="B17" s="1">
        <f t="shared" si="0"/>
        <v>0.32500000000000001</v>
      </c>
      <c r="C17" s="1">
        <f t="shared" si="3"/>
        <v>0.25</v>
      </c>
      <c r="D17" s="1">
        <f t="shared" si="5"/>
        <v>0.375</v>
      </c>
      <c r="E17" s="1">
        <f t="shared" si="2"/>
        <v>0.25</v>
      </c>
      <c r="F17" s="1">
        <f t="shared" si="4"/>
        <v>0.375</v>
      </c>
      <c r="G17" s="1">
        <f t="shared" si="4"/>
        <v>0.375</v>
      </c>
    </row>
    <row r="18" spans="1:7" x14ac:dyDescent="0.2">
      <c r="A18">
        <v>510</v>
      </c>
      <c r="B18" s="1">
        <f t="shared" si="0"/>
        <v>0.32500000000000001</v>
      </c>
      <c r="C18" s="1">
        <f t="shared" si="3"/>
        <v>0.25</v>
      </c>
      <c r="D18" s="1">
        <f t="shared" si="5"/>
        <v>0.375</v>
      </c>
      <c r="E18" s="1">
        <f t="shared" si="2"/>
        <v>0.25</v>
      </c>
      <c r="F18" s="1">
        <f t="shared" si="4"/>
        <v>0.375</v>
      </c>
      <c r="G18" s="1">
        <f t="shared" si="4"/>
        <v>0.375</v>
      </c>
    </row>
    <row r="19" spans="1:7" x14ac:dyDescent="0.2">
      <c r="A19">
        <v>540</v>
      </c>
      <c r="B19" s="1">
        <f t="shared" si="0"/>
        <v>0.32500000000000001</v>
      </c>
      <c r="C19" s="1">
        <f t="shared" si="3"/>
        <v>0.25</v>
      </c>
      <c r="D19" s="1">
        <f t="shared" si="5"/>
        <v>0.375</v>
      </c>
      <c r="E19" s="1">
        <f t="shared" si="2"/>
        <v>0.25</v>
      </c>
      <c r="F19" s="1">
        <f t="shared" si="4"/>
        <v>0.375</v>
      </c>
      <c r="G19" s="1">
        <f t="shared" si="4"/>
        <v>0.375</v>
      </c>
    </row>
    <row r="20" spans="1:7" x14ac:dyDescent="0.2">
      <c r="A20">
        <v>570</v>
      </c>
      <c r="B20" s="1">
        <f t="shared" si="0"/>
        <v>0.32500000000000001</v>
      </c>
      <c r="C20" s="1">
        <f t="shared" si="3"/>
        <v>0.25</v>
      </c>
      <c r="D20" s="1">
        <f t="shared" si="5"/>
        <v>0.375</v>
      </c>
      <c r="E20" s="1">
        <f t="shared" si="2"/>
        <v>0.25</v>
      </c>
      <c r="F20" s="1">
        <f t="shared" si="4"/>
        <v>0.375</v>
      </c>
      <c r="G20" s="1">
        <f t="shared" si="4"/>
        <v>0.375</v>
      </c>
    </row>
    <row r="21" spans="1:7" x14ac:dyDescent="0.2">
      <c r="A21">
        <v>600</v>
      </c>
      <c r="B21" s="1">
        <f t="shared" si="0"/>
        <v>0.32500000000000001</v>
      </c>
      <c r="C21" s="1">
        <f t="shared" si="3"/>
        <v>0.25</v>
      </c>
      <c r="D21" s="1">
        <f t="shared" si="5"/>
        <v>0.375</v>
      </c>
      <c r="E21" s="1">
        <f t="shared" si="2"/>
        <v>0.25</v>
      </c>
      <c r="F21" s="1">
        <f t="shared" si="4"/>
        <v>0.375</v>
      </c>
      <c r="G21" s="1">
        <f t="shared" si="4"/>
        <v>0.375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C8B0B-CBDC-5847-BB6E-8516ACDBBA82}">
  <dimension ref="A1:M21"/>
  <sheetViews>
    <sheetView zoomScale="155" workbookViewId="0">
      <selection activeCell="B2" sqref="B2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0.78823529411764703</v>
      </c>
      <c r="C2" s="1">
        <f>13/17</f>
        <v>0.76470588235294112</v>
      </c>
      <c r="D2" s="1">
        <f>15/17</f>
        <v>0.88235294117647056</v>
      </c>
      <c r="E2" s="1">
        <f>13/17</f>
        <v>0.76470588235294112</v>
      </c>
      <c r="F2" s="1">
        <f>13/17</f>
        <v>0.76470588235294112</v>
      </c>
      <c r="G2" s="1">
        <f>13/17</f>
        <v>0.76470588235294112</v>
      </c>
      <c r="I2" s="2" t="s">
        <v>2</v>
      </c>
      <c r="J2" s="2" t="s">
        <v>16</v>
      </c>
      <c r="K2" s="2" t="s">
        <v>18</v>
      </c>
      <c r="L2" s="2" t="s">
        <v>17</v>
      </c>
      <c r="M2" s="1">
        <v>52.4</v>
      </c>
    </row>
    <row r="3" spans="1:13" x14ac:dyDescent="0.2">
      <c r="A3">
        <v>60</v>
      </c>
      <c r="B3" s="1">
        <f t="shared" ref="B3:B21" si="0">AVERAGE(C3:G3)</f>
        <v>1</v>
      </c>
      <c r="C3" s="1">
        <f>17/17</f>
        <v>1</v>
      </c>
      <c r="D3" s="1">
        <f>17/17</f>
        <v>1</v>
      </c>
      <c r="E3" s="1">
        <f>17/17</f>
        <v>1</v>
      </c>
      <c r="F3" s="1">
        <f>17/17</f>
        <v>1</v>
      </c>
      <c r="G3" s="1">
        <f>17/17</f>
        <v>1</v>
      </c>
      <c r="I3" s="2" t="s">
        <v>3</v>
      </c>
      <c r="J3" s="2" t="s">
        <v>16</v>
      </c>
      <c r="K3" s="2" t="s">
        <v>18</v>
      </c>
      <c r="L3" s="2" t="s">
        <v>17</v>
      </c>
      <c r="M3" s="1">
        <v>45.4</v>
      </c>
    </row>
    <row r="4" spans="1:13" x14ac:dyDescent="0.2">
      <c r="A4">
        <v>90</v>
      </c>
      <c r="B4" s="1">
        <f t="shared" si="0"/>
        <v>1</v>
      </c>
      <c r="C4" s="1">
        <f t="shared" ref="C4:G21" si="1">17/17</f>
        <v>1</v>
      </c>
      <c r="D4" s="1">
        <f t="shared" si="1"/>
        <v>1</v>
      </c>
      <c r="E4" s="1">
        <f t="shared" si="1"/>
        <v>1</v>
      </c>
      <c r="F4" s="1">
        <f t="shared" si="1"/>
        <v>1</v>
      </c>
      <c r="G4" s="1">
        <f t="shared" si="1"/>
        <v>1</v>
      </c>
      <c r="I4" s="2" t="s">
        <v>4</v>
      </c>
      <c r="J4" s="2" t="s">
        <v>16</v>
      </c>
      <c r="K4" s="2" t="s">
        <v>18</v>
      </c>
      <c r="L4" s="2" t="s">
        <v>17</v>
      </c>
      <c r="M4" s="1">
        <v>48.8</v>
      </c>
    </row>
    <row r="5" spans="1:13" x14ac:dyDescent="0.2">
      <c r="A5">
        <v>120</v>
      </c>
      <c r="B5" s="1">
        <f t="shared" si="0"/>
        <v>1</v>
      </c>
      <c r="C5" s="1">
        <f t="shared" si="1"/>
        <v>1</v>
      </c>
      <c r="D5" s="1">
        <f t="shared" si="1"/>
        <v>1</v>
      </c>
      <c r="E5" s="1">
        <f t="shared" si="1"/>
        <v>1</v>
      </c>
      <c r="F5" s="1">
        <f t="shared" si="1"/>
        <v>1</v>
      </c>
      <c r="G5" s="1">
        <f t="shared" si="1"/>
        <v>1</v>
      </c>
      <c r="I5" s="2" t="s">
        <v>5</v>
      </c>
      <c r="J5" s="2" t="s">
        <v>16</v>
      </c>
      <c r="K5" s="2" t="s">
        <v>18</v>
      </c>
      <c r="L5" s="2" t="s">
        <v>17</v>
      </c>
      <c r="M5" s="1">
        <v>50.4</v>
      </c>
    </row>
    <row r="6" spans="1:13" x14ac:dyDescent="0.2">
      <c r="A6">
        <v>150</v>
      </c>
      <c r="B6" s="1">
        <f t="shared" si="0"/>
        <v>1</v>
      </c>
      <c r="C6" s="1">
        <f t="shared" si="1"/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I6" s="2" t="s">
        <v>6</v>
      </c>
      <c r="J6" s="2" t="s">
        <v>16</v>
      </c>
      <c r="K6" s="2" t="s">
        <v>18</v>
      </c>
      <c r="L6" s="2" t="s">
        <v>17</v>
      </c>
      <c r="M6" s="1">
        <v>49.5</v>
      </c>
    </row>
    <row r="7" spans="1:13" x14ac:dyDescent="0.2">
      <c r="A7">
        <v>180</v>
      </c>
      <c r="B7" s="1">
        <f t="shared" si="0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I7" s="2" t="s">
        <v>13</v>
      </c>
      <c r="J7" s="2" t="s">
        <v>16</v>
      </c>
      <c r="K7" s="2" t="s">
        <v>18</v>
      </c>
      <c r="L7" s="2" t="s">
        <v>17</v>
      </c>
      <c r="M7" s="1">
        <f>AVERAGE(M2:M6)</f>
        <v>49.3</v>
      </c>
    </row>
    <row r="8" spans="1:13" x14ac:dyDescent="0.2">
      <c r="A8">
        <v>210</v>
      </c>
      <c r="B8" s="1">
        <f t="shared" si="0"/>
        <v>1</v>
      </c>
      <c r="C8" s="1">
        <f t="shared" si="1"/>
        <v>1</v>
      </c>
      <c r="D8" s="1">
        <f t="shared" si="1"/>
        <v>1</v>
      </c>
      <c r="E8" s="1">
        <f t="shared" si="1"/>
        <v>1</v>
      </c>
      <c r="F8" s="1">
        <f t="shared" si="1"/>
        <v>1</v>
      </c>
      <c r="G8" s="1">
        <f t="shared" si="1"/>
        <v>1</v>
      </c>
      <c r="J8" s="2"/>
      <c r="K8" s="2"/>
      <c r="L8" s="2"/>
      <c r="M8" s="2"/>
    </row>
    <row r="9" spans="1:13" x14ac:dyDescent="0.2">
      <c r="A9">
        <v>240</v>
      </c>
      <c r="B9" s="1">
        <f t="shared" si="0"/>
        <v>1</v>
      </c>
      <c r="C9" s="1">
        <f t="shared" si="1"/>
        <v>1</v>
      </c>
      <c r="D9" s="1">
        <f t="shared" si="1"/>
        <v>1</v>
      </c>
      <c r="E9" s="1">
        <f t="shared" si="1"/>
        <v>1</v>
      </c>
      <c r="F9" s="1">
        <f t="shared" si="1"/>
        <v>1</v>
      </c>
      <c r="G9" s="1">
        <f t="shared" si="1"/>
        <v>1</v>
      </c>
      <c r="J9" s="2"/>
      <c r="K9" s="2"/>
      <c r="L9" s="2"/>
      <c r="M9" s="2"/>
    </row>
    <row r="10" spans="1:13" x14ac:dyDescent="0.2">
      <c r="A10">
        <v>270</v>
      </c>
      <c r="B10" s="1">
        <f t="shared" si="0"/>
        <v>1</v>
      </c>
      <c r="C10" s="1">
        <f t="shared" si="1"/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  <c r="J10" s="2"/>
      <c r="K10" s="2"/>
      <c r="L10" s="2"/>
      <c r="M10" s="2"/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  <c r="J11" s="2"/>
      <c r="K11" s="2"/>
      <c r="L11" s="2"/>
      <c r="M11" s="2"/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  <c r="J12" s="2"/>
      <c r="K12" s="2"/>
      <c r="L12" s="2"/>
      <c r="M12" s="2"/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  <c r="J13" s="2"/>
      <c r="K13" s="2"/>
      <c r="L13" s="2"/>
      <c r="M13" s="2"/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  <c r="J14" s="2"/>
      <c r="K14" s="2"/>
      <c r="L14" s="2"/>
      <c r="M14" s="2"/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  <c r="J15" s="2"/>
      <c r="K15" s="2"/>
      <c r="L15" s="2"/>
      <c r="M15" s="2"/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  <c r="J16" s="2"/>
      <c r="K16" s="2"/>
      <c r="L16" s="2"/>
      <c r="M16" s="2"/>
    </row>
    <row r="17" spans="1:13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  <c r="J17" s="2"/>
      <c r="K17" s="2"/>
      <c r="L17" s="2"/>
      <c r="M17" s="2"/>
    </row>
    <row r="18" spans="1:13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  <c r="J18" s="2"/>
      <c r="K18" s="2"/>
      <c r="L18" s="2"/>
      <c r="M18" s="2"/>
    </row>
    <row r="19" spans="1:13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  <c r="J19" s="2"/>
      <c r="K19" s="2"/>
      <c r="L19" s="2"/>
      <c r="M19" s="2"/>
    </row>
    <row r="20" spans="1:13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  <c r="J20" s="2"/>
      <c r="K20" s="2"/>
      <c r="L20" s="2"/>
      <c r="M20" s="2"/>
    </row>
    <row r="21" spans="1:13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  <c r="J21" s="2"/>
      <c r="K21" s="2"/>
      <c r="L21" s="2"/>
      <c r="M21" s="2"/>
    </row>
  </sheetData>
  <phoneticPr fontId="18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08576-EC75-9547-97E5-385F2DCC0F5B}">
  <dimension ref="A1:L21"/>
  <sheetViews>
    <sheetView zoomScale="142" workbookViewId="0">
      <selection activeCell="K7" sqref="K7"/>
    </sheetView>
  </sheetViews>
  <sheetFormatPr baseColWidth="10" defaultRowHeight="16" x14ac:dyDescent="0.2"/>
  <sheetData>
    <row r="1" spans="1:12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</row>
    <row r="2" spans="1:12" x14ac:dyDescent="0.2">
      <c r="A2">
        <v>30</v>
      </c>
      <c r="B2" s="1">
        <f>AVERAGE(C2:G2)</f>
        <v>4.7058823529411764E-2</v>
      </c>
      <c r="C2" s="1">
        <f>1/17</f>
        <v>5.8823529411764705E-2</v>
      </c>
      <c r="D2" s="1">
        <f>1/17</f>
        <v>5.8823529411764705E-2</v>
      </c>
      <c r="E2" s="1">
        <f>1/17</f>
        <v>5.8823529411764705E-2</v>
      </c>
      <c r="F2" s="1">
        <f>0/17</f>
        <v>0</v>
      </c>
      <c r="G2" s="1">
        <f>1/17</f>
        <v>5.8823529411764705E-2</v>
      </c>
      <c r="I2" s="2" t="s">
        <v>2</v>
      </c>
      <c r="J2" s="2" t="s">
        <v>59</v>
      </c>
      <c r="K2" s="2" t="s">
        <v>60</v>
      </c>
      <c r="L2" s="2" t="s">
        <v>61</v>
      </c>
    </row>
    <row r="3" spans="1:12" x14ac:dyDescent="0.2">
      <c r="A3">
        <v>60</v>
      </c>
      <c r="B3" s="1">
        <f t="shared" ref="B3:B21" si="0">AVERAGE(C3:G3)</f>
        <v>5.8823529411764698E-2</v>
      </c>
      <c r="C3" s="1">
        <f>1/17</f>
        <v>5.8823529411764705E-2</v>
      </c>
      <c r="D3" s="1">
        <f>1/17</f>
        <v>5.8823529411764705E-2</v>
      </c>
      <c r="E3" s="1">
        <f>1/17</f>
        <v>5.8823529411764705E-2</v>
      </c>
      <c r="F3" s="1">
        <f>0/17</f>
        <v>0</v>
      </c>
      <c r="G3" s="1">
        <f>2/17</f>
        <v>0.11764705882352941</v>
      </c>
      <c r="I3" s="2" t="s">
        <v>3</v>
      </c>
      <c r="J3" s="2" t="s">
        <v>59</v>
      </c>
      <c r="K3" s="2" t="s">
        <v>62</v>
      </c>
      <c r="L3" s="2" t="s">
        <v>63</v>
      </c>
    </row>
    <row r="4" spans="1:12" x14ac:dyDescent="0.2">
      <c r="A4">
        <v>90</v>
      </c>
      <c r="B4" s="1">
        <f t="shared" si="0"/>
        <v>7.0588235294117646E-2</v>
      </c>
      <c r="C4" s="1">
        <f>1/17</f>
        <v>5.8823529411764705E-2</v>
      </c>
      <c r="D4" s="1">
        <f>2/17</f>
        <v>0.11764705882352941</v>
      </c>
      <c r="E4" s="1">
        <f>1/17</f>
        <v>5.8823529411764705E-2</v>
      </c>
      <c r="F4" s="1">
        <f>0/17</f>
        <v>0</v>
      </c>
      <c r="G4" s="1">
        <f>2/17</f>
        <v>0.11764705882352941</v>
      </c>
      <c r="I4" s="2" t="s">
        <v>4</v>
      </c>
      <c r="J4" s="2" t="s">
        <v>59</v>
      </c>
      <c r="K4" s="2" t="s">
        <v>64</v>
      </c>
      <c r="L4" s="2" t="s">
        <v>65</v>
      </c>
    </row>
    <row r="5" spans="1:12" x14ac:dyDescent="0.2">
      <c r="A5">
        <v>120</v>
      </c>
      <c r="B5" s="1">
        <f t="shared" si="0"/>
        <v>7.0588235294117646E-2</v>
      </c>
      <c r="C5" s="1">
        <f>1/17</f>
        <v>5.8823529411764705E-2</v>
      </c>
      <c r="D5" s="1">
        <f>2/17</f>
        <v>0.11764705882352941</v>
      </c>
      <c r="E5" s="1">
        <f>1/17</f>
        <v>5.8823529411764705E-2</v>
      </c>
      <c r="F5" s="1">
        <f>0/17</f>
        <v>0</v>
      </c>
      <c r="G5" s="1">
        <f>2/17</f>
        <v>0.11764705882352941</v>
      </c>
      <c r="I5" s="2" t="s">
        <v>5</v>
      </c>
      <c r="J5" s="2" t="s">
        <v>59</v>
      </c>
      <c r="K5" s="2" t="s">
        <v>66</v>
      </c>
      <c r="L5" s="2" t="s">
        <v>67</v>
      </c>
    </row>
    <row r="6" spans="1:12" x14ac:dyDescent="0.2">
      <c r="A6">
        <v>150</v>
      </c>
      <c r="B6" s="1">
        <f t="shared" si="0"/>
        <v>9.4117647058823528E-2</v>
      </c>
      <c r="C6" s="1">
        <f>2/17</f>
        <v>0.11764705882352941</v>
      </c>
      <c r="D6" s="1">
        <f>2/17</f>
        <v>0.11764705882352941</v>
      </c>
      <c r="E6" s="1">
        <f>2/17</f>
        <v>0.11764705882352941</v>
      </c>
      <c r="F6" s="1">
        <f>0/17</f>
        <v>0</v>
      </c>
      <c r="G6" s="1">
        <f>2/17</f>
        <v>0.11764705882352941</v>
      </c>
      <c r="I6" s="2" t="s">
        <v>6</v>
      </c>
      <c r="J6" s="2" t="s">
        <v>59</v>
      </c>
      <c r="K6" s="2" t="s">
        <v>66</v>
      </c>
      <c r="L6" s="2" t="s">
        <v>67</v>
      </c>
    </row>
    <row r="7" spans="1:12" x14ac:dyDescent="0.2">
      <c r="A7">
        <v>180</v>
      </c>
      <c r="B7" s="1">
        <f t="shared" si="0"/>
        <v>0.14117647058823529</v>
      </c>
      <c r="C7" s="1">
        <f>2/17</f>
        <v>0.11764705882352941</v>
      </c>
      <c r="D7" s="1">
        <f>3/17</f>
        <v>0.17647058823529413</v>
      </c>
      <c r="E7" s="1">
        <f>2/17</f>
        <v>0.11764705882352941</v>
      </c>
      <c r="F7" s="1">
        <f>1/17</f>
        <v>5.8823529411764705E-2</v>
      </c>
      <c r="G7" s="1">
        <f>4/17</f>
        <v>0.23529411764705882</v>
      </c>
      <c r="I7" s="2" t="s">
        <v>13</v>
      </c>
      <c r="J7" s="2" t="s">
        <v>59</v>
      </c>
      <c r="K7" s="2" t="s">
        <v>68</v>
      </c>
      <c r="L7" s="2" t="s">
        <v>69</v>
      </c>
    </row>
    <row r="8" spans="1:12" x14ac:dyDescent="0.2">
      <c r="A8">
        <v>210</v>
      </c>
      <c r="B8" s="1">
        <f t="shared" si="0"/>
        <v>0.14117647058823529</v>
      </c>
      <c r="C8" s="1">
        <f>2/17</f>
        <v>0.11764705882352941</v>
      </c>
      <c r="D8" s="1">
        <f t="shared" ref="D8:E21" si="1">3/17</f>
        <v>0.17647058823529413</v>
      </c>
      <c r="E8" s="1">
        <f>2/17</f>
        <v>0.11764705882352941</v>
      </c>
      <c r="F8" s="1">
        <f>1/17</f>
        <v>5.8823529411764705E-2</v>
      </c>
      <c r="G8" s="1">
        <f t="shared" ref="G8:G21" si="2">4/17</f>
        <v>0.23529411764705882</v>
      </c>
      <c r="J8" s="2"/>
      <c r="K8" s="2"/>
      <c r="L8" s="2"/>
    </row>
    <row r="9" spans="1:12" x14ac:dyDescent="0.2">
      <c r="A9">
        <v>240</v>
      </c>
      <c r="B9" s="1">
        <f t="shared" si="0"/>
        <v>0.15294117647058822</v>
      </c>
      <c r="C9" s="1">
        <f>2/17</f>
        <v>0.11764705882352941</v>
      </c>
      <c r="D9" s="1">
        <f t="shared" si="1"/>
        <v>0.17647058823529413</v>
      </c>
      <c r="E9" s="1">
        <f t="shared" si="1"/>
        <v>0.17647058823529413</v>
      </c>
      <c r="F9" s="1">
        <f>1/17</f>
        <v>5.8823529411764705E-2</v>
      </c>
      <c r="G9" s="1">
        <f t="shared" si="2"/>
        <v>0.23529411764705882</v>
      </c>
      <c r="J9" s="2"/>
      <c r="K9" s="2"/>
      <c r="L9" s="2"/>
    </row>
    <row r="10" spans="1:12" x14ac:dyDescent="0.2">
      <c r="A10">
        <v>270</v>
      </c>
      <c r="B10" s="1">
        <f t="shared" si="0"/>
        <v>0.1764705882352941</v>
      </c>
      <c r="C10" s="1">
        <f>2/17</f>
        <v>0.11764705882352941</v>
      </c>
      <c r="D10" s="1">
        <f t="shared" si="1"/>
        <v>0.17647058823529413</v>
      </c>
      <c r="E10" s="1">
        <f>4/17</f>
        <v>0.23529411764705882</v>
      </c>
      <c r="F10" s="1">
        <f>2/17</f>
        <v>0.11764705882352941</v>
      </c>
      <c r="G10" s="1">
        <f t="shared" si="2"/>
        <v>0.23529411764705882</v>
      </c>
      <c r="J10" s="2"/>
      <c r="K10" s="2"/>
      <c r="L10" s="2"/>
    </row>
    <row r="11" spans="1:12" x14ac:dyDescent="0.2">
      <c r="A11">
        <v>300</v>
      </c>
      <c r="B11" s="1">
        <f t="shared" si="0"/>
        <v>0.2</v>
      </c>
      <c r="C11" s="1">
        <f>4/17</f>
        <v>0.23529411764705882</v>
      </c>
      <c r="D11" s="1">
        <f t="shared" si="1"/>
        <v>0.17647058823529413</v>
      </c>
      <c r="E11" s="1">
        <f>4/17</f>
        <v>0.23529411764705882</v>
      </c>
      <c r="F11" s="1">
        <f>2/17</f>
        <v>0.11764705882352941</v>
      </c>
      <c r="G11" s="1">
        <f t="shared" si="2"/>
        <v>0.23529411764705882</v>
      </c>
      <c r="J11" s="2"/>
      <c r="K11" s="2"/>
      <c r="L11" s="2"/>
    </row>
    <row r="12" spans="1:12" x14ac:dyDescent="0.2">
      <c r="A12">
        <v>330</v>
      </c>
      <c r="B12" s="1">
        <f t="shared" si="0"/>
        <v>0.21176470588235294</v>
      </c>
      <c r="C12" s="1">
        <f>4/17</f>
        <v>0.23529411764705882</v>
      </c>
      <c r="D12" s="1">
        <f t="shared" si="1"/>
        <v>0.17647058823529413</v>
      </c>
      <c r="E12" s="1">
        <f>5/17</f>
        <v>0.29411764705882354</v>
      </c>
      <c r="F12" s="1">
        <f>2/17</f>
        <v>0.11764705882352941</v>
      </c>
      <c r="G12" s="1">
        <f t="shared" si="2"/>
        <v>0.23529411764705882</v>
      </c>
      <c r="J12" s="2"/>
      <c r="K12" s="2"/>
      <c r="L12" s="2"/>
    </row>
    <row r="13" spans="1:12" x14ac:dyDescent="0.2">
      <c r="A13">
        <v>360</v>
      </c>
      <c r="B13" s="1">
        <f t="shared" si="0"/>
        <v>0.21176470588235294</v>
      </c>
      <c r="C13" s="1">
        <f>4/17</f>
        <v>0.23529411764705882</v>
      </c>
      <c r="D13" s="1">
        <f t="shared" si="1"/>
        <v>0.17647058823529413</v>
      </c>
      <c r="E13" s="1">
        <f>5/17</f>
        <v>0.29411764705882354</v>
      </c>
      <c r="F13" s="1">
        <f>2/17</f>
        <v>0.11764705882352941</v>
      </c>
      <c r="G13" s="1">
        <f t="shared" si="2"/>
        <v>0.23529411764705882</v>
      </c>
      <c r="J13" s="2"/>
      <c r="K13" s="2"/>
      <c r="L13" s="2"/>
    </row>
    <row r="14" spans="1:12" x14ac:dyDescent="0.2">
      <c r="A14">
        <v>390</v>
      </c>
      <c r="B14" s="1">
        <f t="shared" si="0"/>
        <v>0.21176470588235294</v>
      </c>
      <c r="C14" s="1">
        <f>4/17</f>
        <v>0.23529411764705882</v>
      </c>
      <c r="D14" s="1">
        <f t="shared" si="1"/>
        <v>0.17647058823529413</v>
      </c>
      <c r="E14" s="1">
        <f>5/17</f>
        <v>0.29411764705882354</v>
      </c>
      <c r="F14" s="1">
        <f>2/17</f>
        <v>0.11764705882352941</v>
      </c>
      <c r="G14" s="1">
        <f t="shared" si="2"/>
        <v>0.23529411764705882</v>
      </c>
      <c r="J14" s="2"/>
      <c r="K14" s="2"/>
      <c r="L14" s="2"/>
    </row>
    <row r="15" spans="1:12" x14ac:dyDescent="0.2">
      <c r="A15">
        <v>420</v>
      </c>
      <c r="B15" s="1">
        <f t="shared" si="0"/>
        <v>0.23529411764705882</v>
      </c>
      <c r="C15" s="1">
        <f>4/17</f>
        <v>0.23529411764705882</v>
      </c>
      <c r="D15" s="1">
        <f t="shared" si="1"/>
        <v>0.17647058823529413</v>
      </c>
      <c r="E15" s="1">
        <f>7/17</f>
        <v>0.41176470588235292</v>
      </c>
      <c r="F15" s="1">
        <f>2/17</f>
        <v>0.11764705882352941</v>
      </c>
      <c r="G15" s="1">
        <f t="shared" si="2"/>
        <v>0.23529411764705882</v>
      </c>
      <c r="J15" s="2"/>
      <c r="K15" s="2"/>
      <c r="L15" s="2"/>
    </row>
    <row r="16" spans="1:12" x14ac:dyDescent="0.2">
      <c r="A16">
        <v>450</v>
      </c>
      <c r="B16" s="1">
        <f t="shared" si="0"/>
        <v>0.23529411764705882</v>
      </c>
      <c r="C16" s="1">
        <f>4/17</f>
        <v>0.23529411764705882</v>
      </c>
      <c r="D16" s="1">
        <f t="shared" si="1"/>
        <v>0.17647058823529413</v>
      </c>
      <c r="E16" s="1">
        <f>7/17</f>
        <v>0.41176470588235292</v>
      </c>
      <c r="F16" s="1">
        <f>2/17</f>
        <v>0.11764705882352941</v>
      </c>
      <c r="G16" s="1">
        <f t="shared" si="2"/>
        <v>0.23529411764705882</v>
      </c>
      <c r="J16" s="2"/>
      <c r="K16" s="2"/>
      <c r="L16" s="2"/>
    </row>
    <row r="17" spans="1:12" x14ac:dyDescent="0.2">
      <c r="A17">
        <v>480</v>
      </c>
      <c r="B17" s="1">
        <f t="shared" si="0"/>
        <v>0.25882352941176473</v>
      </c>
      <c r="C17" s="1">
        <f>5/17</f>
        <v>0.29411764705882354</v>
      </c>
      <c r="D17" s="1">
        <f t="shared" si="1"/>
        <v>0.17647058823529413</v>
      </c>
      <c r="E17" s="1">
        <f>7/17</f>
        <v>0.41176470588235292</v>
      </c>
      <c r="F17" s="1">
        <f>3/17</f>
        <v>0.17647058823529413</v>
      </c>
      <c r="G17" s="1">
        <f t="shared" si="2"/>
        <v>0.23529411764705882</v>
      </c>
      <c r="J17" s="2"/>
      <c r="K17" s="2"/>
      <c r="L17" s="2"/>
    </row>
    <row r="18" spans="1:12" x14ac:dyDescent="0.2">
      <c r="A18">
        <v>510</v>
      </c>
      <c r="B18" s="1">
        <f t="shared" si="0"/>
        <v>0.28235294117647058</v>
      </c>
      <c r="C18" s="1">
        <f>5/17</f>
        <v>0.29411764705882354</v>
      </c>
      <c r="D18" s="1">
        <f t="shared" si="1"/>
        <v>0.17647058823529413</v>
      </c>
      <c r="E18" s="1">
        <f>8/17</f>
        <v>0.47058823529411764</v>
      </c>
      <c r="F18" s="1">
        <f>4/17</f>
        <v>0.23529411764705882</v>
      </c>
      <c r="G18" s="1">
        <f t="shared" si="2"/>
        <v>0.23529411764705882</v>
      </c>
      <c r="J18" s="2"/>
      <c r="K18" s="2"/>
      <c r="L18" s="2"/>
    </row>
    <row r="19" spans="1:12" x14ac:dyDescent="0.2">
      <c r="A19">
        <v>540</v>
      </c>
      <c r="B19" s="1">
        <f t="shared" si="0"/>
        <v>0.29411764705882354</v>
      </c>
      <c r="C19" s="1">
        <f>6/17</f>
        <v>0.35294117647058826</v>
      </c>
      <c r="D19" s="1">
        <f t="shared" si="1"/>
        <v>0.17647058823529413</v>
      </c>
      <c r="E19" s="1">
        <f>8/17</f>
        <v>0.47058823529411764</v>
      </c>
      <c r="F19" s="1">
        <f>4/17</f>
        <v>0.23529411764705882</v>
      </c>
      <c r="G19" s="1">
        <f t="shared" si="2"/>
        <v>0.23529411764705882</v>
      </c>
      <c r="J19" s="2"/>
      <c r="K19" s="2"/>
      <c r="L19" s="2"/>
    </row>
    <row r="20" spans="1:12" x14ac:dyDescent="0.2">
      <c r="A20">
        <v>570</v>
      </c>
      <c r="B20" s="1">
        <f t="shared" si="0"/>
        <v>0.29411764705882354</v>
      </c>
      <c r="C20" s="1">
        <f>6/17</f>
        <v>0.35294117647058826</v>
      </c>
      <c r="D20" s="1">
        <f t="shared" si="1"/>
        <v>0.17647058823529413</v>
      </c>
      <c r="E20" s="1">
        <f>8/17</f>
        <v>0.47058823529411764</v>
      </c>
      <c r="F20" s="1">
        <f>4/17</f>
        <v>0.23529411764705882</v>
      </c>
      <c r="G20" s="1">
        <f t="shared" si="2"/>
        <v>0.23529411764705882</v>
      </c>
      <c r="J20" s="2"/>
      <c r="K20" s="2"/>
      <c r="L20" s="2"/>
    </row>
    <row r="21" spans="1:12" x14ac:dyDescent="0.2">
      <c r="A21">
        <v>600</v>
      </c>
      <c r="B21" s="1">
        <f t="shared" si="0"/>
        <v>0.29411764705882354</v>
      </c>
      <c r="C21" s="1">
        <f>6/17</f>
        <v>0.35294117647058826</v>
      </c>
      <c r="D21" s="1">
        <f t="shared" si="1"/>
        <v>0.17647058823529413</v>
      </c>
      <c r="E21" s="1">
        <f>8/17</f>
        <v>0.47058823529411764</v>
      </c>
      <c r="F21" s="1">
        <f>4/17</f>
        <v>0.23529411764705882</v>
      </c>
      <c r="G21" s="1">
        <f t="shared" si="2"/>
        <v>0.23529411764705882</v>
      </c>
      <c r="J21" s="2"/>
      <c r="K21" s="2"/>
      <c r="L21" s="2"/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96C6F-7A7E-0146-B15E-A30BE73CCA4F}">
  <dimension ref="A1:N21"/>
  <sheetViews>
    <sheetView zoomScale="150" workbookViewId="0">
      <selection sqref="A1:L21"/>
    </sheetView>
  </sheetViews>
  <sheetFormatPr baseColWidth="10" defaultRowHeight="16" x14ac:dyDescent="0.2"/>
  <cols>
    <col min="1" max="8" width="10.83203125" style="3"/>
    <col min="9" max="9" width="12.33203125" style="3" customWidth="1"/>
    <col min="10" max="13" width="10.83203125" style="3"/>
    <col min="14" max="14" width="13.33203125" style="3" customWidth="1"/>
    <col min="15" max="16384" width="10.83203125" style="3"/>
  </cols>
  <sheetData>
    <row r="1" spans="1:14" x14ac:dyDescent="0.2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J1" s="3" t="s">
        <v>7</v>
      </c>
      <c r="K1" s="3" t="s">
        <v>8</v>
      </c>
      <c r="L1" s="3" t="s">
        <v>9</v>
      </c>
      <c r="M1" s="5" t="s">
        <v>0</v>
      </c>
      <c r="N1" s="5" t="s">
        <v>23</v>
      </c>
    </row>
    <row r="2" spans="1:14" x14ac:dyDescent="0.2">
      <c r="A2" s="3">
        <v>30</v>
      </c>
      <c r="B2" s="4">
        <f>AVERAGE(C2:G2)</f>
        <v>3.053435114503817E-2</v>
      </c>
      <c r="C2" s="4">
        <f>4/131</f>
        <v>3.0534351145038167E-2</v>
      </c>
      <c r="D2" s="4">
        <f>4/131</f>
        <v>3.0534351145038167E-2</v>
      </c>
      <c r="E2" s="4">
        <f>4/131</f>
        <v>3.0534351145038167E-2</v>
      </c>
      <c r="F2" s="4">
        <f>4/131</f>
        <v>3.0534351145038167E-2</v>
      </c>
      <c r="G2" s="4">
        <f>4/131</f>
        <v>3.0534351145038167E-2</v>
      </c>
      <c r="I2" s="5" t="s">
        <v>2</v>
      </c>
      <c r="J2" s="5" t="s">
        <v>21</v>
      </c>
      <c r="K2" s="5" t="s">
        <v>20</v>
      </c>
      <c r="L2" s="5" t="s">
        <v>22</v>
      </c>
      <c r="M2" s="4">
        <v>533.9</v>
      </c>
      <c r="N2" s="5" t="s">
        <v>24</v>
      </c>
    </row>
    <row r="3" spans="1:14" x14ac:dyDescent="0.2">
      <c r="A3" s="3">
        <v>60</v>
      </c>
      <c r="B3" s="4">
        <f t="shared" ref="B3:B21" si="0">AVERAGE(C3:G3)</f>
        <v>0.10076335877862594</v>
      </c>
      <c r="C3" s="4">
        <f>11/131</f>
        <v>8.3969465648854963E-2</v>
      </c>
      <c r="D3" s="4">
        <f>15/131</f>
        <v>0.11450381679389313</v>
      </c>
      <c r="E3" s="4">
        <f>14/131</f>
        <v>0.10687022900763359</v>
      </c>
      <c r="F3" s="4">
        <f>12/131</f>
        <v>9.1603053435114504E-2</v>
      </c>
      <c r="G3" s="4">
        <f>14/131</f>
        <v>0.10687022900763359</v>
      </c>
      <c r="I3" s="5" t="s">
        <v>3</v>
      </c>
      <c r="J3" s="5" t="s">
        <v>19</v>
      </c>
      <c r="K3" s="5" t="s">
        <v>28</v>
      </c>
      <c r="L3" s="5" t="s">
        <v>25</v>
      </c>
      <c r="M3" s="4">
        <v>446.4</v>
      </c>
      <c r="N3" s="5" t="s">
        <v>24</v>
      </c>
    </row>
    <row r="4" spans="1:14" x14ac:dyDescent="0.2">
      <c r="A4" s="3">
        <v>90</v>
      </c>
      <c r="B4" s="4">
        <f t="shared" si="0"/>
        <v>0.16183206106870224</v>
      </c>
      <c r="C4" s="4">
        <f>17/131</f>
        <v>0.12977099236641221</v>
      </c>
      <c r="D4" s="4">
        <f>23/131</f>
        <v>0.17557251908396945</v>
      </c>
      <c r="E4" s="4">
        <f>23/131</f>
        <v>0.17557251908396945</v>
      </c>
      <c r="F4" s="4">
        <f>22/131</f>
        <v>0.16793893129770993</v>
      </c>
      <c r="G4" s="4">
        <f>21/131</f>
        <v>0.16030534351145037</v>
      </c>
      <c r="I4" s="5" t="s">
        <v>4</v>
      </c>
      <c r="J4" s="5" t="s">
        <v>26</v>
      </c>
      <c r="K4" s="5" t="s">
        <v>33</v>
      </c>
      <c r="L4" s="5" t="s">
        <v>27</v>
      </c>
      <c r="M4" s="4">
        <v>422.8</v>
      </c>
      <c r="N4" s="5" t="s">
        <v>24</v>
      </c>
    </row>
    <row r="5" spans="1:14" x14ac:dyDescent="0.2">
      <c r="A5" s="3">
        <v>120</v>
      </c>
      <c r="B5" s="4">
        <f t="shared" si="0"/>
        <v>0.23511450381679388</v>
      </c>
      <c r="C5" s="4">
        <f>25/131</f>
        <v>0.19083969465648856</v>
      </c>
      <c r="D5" s="4">
        <f>33/131</f>
        <v>0.25190839694656486</v>
      </c>
      <c r="E5" s="4">
        <f>33/131</f>
        <v>0.25190839694656486</v>
      </c>
      <c r="F5" s="4">
        <f>32/131</f>
        <v>0.24427480916030533</v>
      </c>
      <c r="G5" s="4">
        <f>31/131</f>
        <v>0.23664122137404581</v>
      </c>
      <c r="I5" s="5" t="s">
        <v>5</v>
      </c>
      <c r="J5" s="5" t="s">
        <v>29</v>
      </c>
      <c r="K5" s="5" t="s">
        <v>33</v>
      </c>
      <c r="L5" s="5" t="s">
        <v>30</v>
      </c>
      <c r="M5" s="4">
        <v>448.5</v>
      </c>
      <c r="N5" s="5" t="s">
        <v>24</v>
      </c>
    </row>
    <row r="6" spans="1:14" x14ac:dyDescent="0.2">
      <c r="A6" s="3">
        <v>150</v>
      </c>
      <c r="B6" s="4">
        <f t="shared" si="0"/>
        <v>0.29618320610687027</v>
      </c>
      <c r="C6" s="4">
        <f>32/131</f>
        <v>0.24427480916030533</v>
      </c>
      <c r="D6" s="4">
        <f>41/131</f>
        <v>0.31297709923664124</v>
      </c>
      <c r="E6" s="4">
        <f>41/131</f>
        <v>0.31297709923664124</v>
      </c>
      <c r="F6" s="4">
        <f>40/131</f>
        <v>0.30534351145038169</v>
      </c>
      <c r="G6" s="4">
        <f>40/131</f>
        <v>0.30534351145038169</v>
      </c>
      <c r="I6" s="5" t="s">
        <v>6</v>
      </c>
      <c r="J6" s="5" t="s">
        <v>21</v>
      </c>
      <c r="K6" s="5" t="s">
        <v>20</v>
      </c>
      <c r="L6" s="5" t="s">
        <v>22</v>
      </c>
      <c r="M6" s="4">
        <v>447</v>
      </c>
      <c r="N6" s="5" t="s">
        <v>24</v>
      </c>
    </row>
    <row r="7" spans="1:14" x14ac:dyDescent="0.2">
      <c r="A7" s="3">
        <v>180</v>
      </c>
      <c r="B7" s="4">
        <f t="shared" si="0"/>
        <v>0.36030534351145038</v>
      </c>
      <c r="C7" s="4">
        <f>39/131</f>
        <v>0.29770992366412213</v>
      </c>
      <c r="D7" s="4">
        <f>52/131</f>
        <v>0.39694656488549618</v>
      </c>
      <c r="E7" s="4">
        <f>49/131</f>
        <v>0.37404580152671757</v>
      </c>
      <c r="F7" s="4">
        <f>47/131</f>
        <v>0.35877862595419846</v>
      </c>
      <c r="G7" s="4">
        <f>49/131</f>
        <v>0.37404580152671757</v>
      </c>
      <c r="I7" s="5" t="s">
        <v>13</v>
      </c>
      <c r="J7" s="5" t="s">
        <v>31</v>
      </c>
      <c r="K7" s="5" t="s">
        <v>32</v>
      </c>
      <c r="L7" s="5" t="s">
        <v>34</v>
      </c>
      <c r="M7" s="4">
        <f>AVERAGE(M2:M6)</f>
        <v>459.71999999999997</v>
      </c>
      <c r="N7" s="5" t="s">
        <v>24</v>
      </c>
    </row>
    <row r="8" spans="1:14" x14ac:dyDescent="0.2">
      <c r="A8" s="3">
        <v>210</v>
      </c>
      <c r="B8" s="4">
        <f t="shared" si="0"/>
        <v>0.41832061068702292</v>
      </c>
      <c r="C8" s="4">
        <f>45/131</f>
        <v>0.34351145038167941</v>
      </c>
      <c r="D8" s="4">
        <f>58/131</f>
        <v>0.44274809160305345</v>
      </c>
      <c r="E8" s="4">
        <f>59/131</f>
        <v>0.45038167938931295</v>
      </c>
      <c r="F8" s="4">
        <f>54/131</f>
        <v>0.41221374045801529</v>
      </c>
      <c r="G8" s="4">
        <f>58/131</f>
        <v>0.44274809160305345</v>
      </c>
      <c r="J8" s="5"/>
      <c r="K8" s="5"/>
      <c r="L8" s="5"/>
      <c r="M8" s="5"/>
    </row>
    <row r="9" spans="1:14" x14ac:dyDescent="0.2">
      <c r="A9" s="3">
        <v>240</v>
      </c>
      <c r="B9" s="4">
        <f t="shared" si="0"/>
        <v>0.48244274809160304</v>
      </c>
      <c r="C9" s="4">
        <f>52/131</f>
        <v>0.39694656488549618</v>
      </c>
      <c r="D9" s="4">
        <f>69/131</f>
        <v>0.52671755725190839</v>
      </c>
      <c r="E9" s="4">
        <f>67/131</f>
        <v>0.51145038167938928</v>
      </c>
      <c r="F9" s="4">
        <f>63/131</f>
        <v>0.48091603053435117</v>
      </c>
      <c r="G9" s="4">
        <f>65/131</f>
        <v>0.49618320610687022</v>
      </c>
      <c r="I9" s="5"/>
      <c r="J9" s="5"/>
      <c r="K9" s="5"/>
      <c r="L9" s="5"/>
      <c r="M9" s="5"/>
    </row>
    <row r="10" spans="1:14" x14ac:dyDescent="0.2">
      <c r="A10" s="3">
        <v>270</v>
      </c>
      <c r="B10" s="4">
        <f t="shared" si="0"/>
        <v>0.55419847328244276</v>
      </c>
      <c r="C10" s="4">
        <f>61/131</f>
        <v>0.46564885496183206</v>
      </c>
      <c r="D10" s="4">
        <f>80/131</f>
        <v>0.61068702290076338</v>
      </c>
      <c r="E10" s="4">
        <f>77/131</f>
        <v>0.58778625954198471</v>
      </c>
      <c r="F10" s="4">
        <f>73/131</f>
        <v>0.5572519083969466</v>
      </c>
      <c r="G10" s="4">
        <f>72/131</f>
        <v>0.54961832061068705</v>
      </c>
      <c r="J10" s="5"/>
      <c r="K10" s="5"/>
      <c r="L10" s="5"/>
      <c r="M10" s="5"/>
    </row>
    <row r="11" spans="1:14" x14ac:dyDescent="0.2">
      <c r="A11" s="3">
        <v>300</v>
      </c>
      <c r="B11" s="4">
        <f t="shared" si="0"/>
        <v>0.62748091603053435</v>
      </c>
      <c r="C11" s="4">
        <f>67/131</f>
        <v>0.51145038167938928</v>
      </c>
      <c r="D11" s="4">
        <f>87/131</f>
        <v>0.66412213740458015</v>
      </c>
      <c r="E11" s="4">
        <f>91/131</f>
        <v>0.69465648854961837</v>
      </c>
      <c r="F11" s="4">
        <f>82/131</f>
        <v>0.62595419847328249</v>
      </c>
      <c r="G11" s="4">
        <f>84/131</f>
        <v>0.64122137404580148</v>
      </c>
      <c r="J11" s="5"/>
      <c r="K11" s="5"/>
      <c r="L11" s="5"/>
      <c r="M11" s="5"/>
    </row>
    <row r="12" spans="1:14" x14ac:dyDescent="0.2">
      <c r="A12" s="3">
        <v>330</v>
      </c>
      <c r="B12" s="4">
        <f t="shared" si="0"/>
        <v>0.70381679389312968</v>
      </c>
      <c r="C12" s="4">
        <f>84/131</f>
        <v>0.64122137404580148</v>
      </c>
      <c r="D12" s="4">
        <f>93/131</f>
        <v>0.70992366412213737</v>
      </c>
      <c r="E12" s="4">
        <f>96/131</f>
        <v>0.73282442748091603</v>
      </c>
      <c r="F12" s="4">
        <f>92/131</f>
        <v>0.70229007633587781</v>
      </c>
      <c r="G12" s="4">
        <f>96/131</f>
        <v>0.73282442748091603</v>
      </c>
      <c r="J12" s="5"/>
      <c r="K12" s="5"/>
      <c r="L12" s="5"/>
      <c r="M12" s="5"/>
    </row>
    <row r="13" spans="1:14" x14ac:dyDescent="0.2">
      <c r="A13" s="3">
        <v>360</v>
      </c>
      <c r="B13" s="4">
        <f t="shared" si="0"/>
        <v>0.7603053435114504</v>
      </c>
      <c r="C13" s="4">
        <f>96/131</f>
        <v>0.73282442748091603</v>
      </c>
      <c r="D13" s="4">
        <f>102/131</f>
        <v>0.77862595419847325</v>
      </c>
      <c r="E13" s="4">
        <f>104/131</f>
        <v>0.79389312977099236</v>
      </c>
      <c r="F13" s="4">
        <f>95/131</f>
        <v>0.72519083969465647</v>
      </c>
      <c r="G13" s="4">
        <f>101/131</f>
        <v>0.77099236641221369</v>
      </c>
      <c r="J13" s="5"/>
      <c r="K13" s="5"/>
      <c r="L13" s="5"/>
      <c r="M13" s="5"/>
    </row>
    <row r="14" spans="1:14" x14ac:dyDescent="0.2">
      <c r="A14" s="3">
        <v>390</v>
      </c>
      <c r="B14" s="4">
        <f t="shared" si="0"/>
        <v>0.8229007633587786</v>
      </c>
      <c r="C14" s="4">
        <f>100/131</f>
        <v>0.76335877862595425</v>
      </c>
      <c r="D14" s="4">
        <f>110/131</f>
        <v>0.83969465648854957</v>
      </c>
      <c r="E14" s="4">
        <f>114/131</f>
        <v>0.87022900763358779</v>
      </c>
      <c r="F14" s="4">
        <f>105/131</f>
        <v>0.80152671755725191</v>
      </c>
      <c r="G14" s="4">
        <f>110/131</f>
        <v>0.83969465648854957</v>
      </c>
      <c r="J14" s="5"/>
      <c r="K14" s="5"/>
      <c r="L14" s="5"/>
      <c r="M14" s="5"/>
    </row>
    <row r="15" spans="1:14" x14ac:dyDescent="0.2">
      <c r="A15" s="3">
        <v>420</v>
      </c>
      <c r="B15" s="4">
        <f t="shared" si="0"/>
        <v>0.89160305343511437</v>
      </c>
      <c r="C15" s="4">
        <f>108/131</f>
        <v>0.82442748091603058</v>
      </c>
      <c r="D15" s="4">
        <f>119/131</f>
        <v>0.90839694656488545</v>
      </c>
      <c r="E15" s="4">
        <f>123/131</f>
        <v>0.93893129770992367</v>
      </c>
      <c r="F15" s="4">
        <f>114/131</f>
        <v>0.87022900763358779</v>
      </c>
      <c r="G15" s="4">
        <f>120/131</f>
        <v>0.91603053435114501</v>
      </c>
      <c r="J15" s="5"/>
      <c r="K15" s="5"/>
      <c r="L15" s="5"/>
      <c r="M15" s="5"/>
    </row>
    <row r="16" spans="1:14" x14ac:dyDescent="0.2">
      <c r="A16" s="3">
        <v>450</v>
      </c>
      <c r="B16" s="4">
        <f t="shared" si="0"/>
        <v>0.93129770992366401</v>
      </c>
      <c r="C16" s="4">
        <f>116/131</f>
        <v>0.8854961832061069</v>
      </c>
      <c r="D16" s="4">
        <f>122/131</f>
        <v>0.93129770992366412</v>
      </c>
      <c r="E16" s="4">
        <f>124/131</f>
        <v>0.94656488549618323</v>
      </c>
      <c r="F16" s="4">
        <f>121/131</f>
        <v>0.92366412213740456</v>
      </c>
      <c r="G16" s="4">
        <f>127/131</f>
        <v>0.96946564885496178</v>
      </c>
      <c r="J16" s="5"/>
      <c r="K16" s="5"/>
      <c r="L16" s="5"/>
      <c r="M16" s="5"/>
    </row>
    <row r="17" spans="1:13" x14ac:dyDescent="0.2">
      <c r="A17" s="3">
        <v>480</v>
      </c>
      <c r="B17" s="4">
        <f t="shared" si="0"/>
        <v>0.9572519083969464</v>
      </c>
      <c r="C17" s="4">
        <f>123/131</f>
        <v>0.93893129770992367</v>
      </c>
      <c r="D17" s="4">
        <f>122/131</f>
        <v>0.93129770992366412</v>
      </c>
      <c r="E17" s="4">
        <f t="shared" ref="E17:E21" si="1">124/131</f>
        <v>0.94656488549618323</v>
      </c>
      <c r="F17" s="4">
        <f t="shared" ref="F17:F21" si="2">17/17</f>
        <v>1</v>
      </c>
      <c r="G17" s="4">
        <f t="shared" ref="G17:G21" si="3">127/131</f>
        <v>0.96946564885496178</v>
      </c>
      <c r="J17" s="5"/>
      <c r="K17" s="5"/>
      <c r="L17" s="5"/>
      <c r="M17" s="5"/>
    </row>
    <row r="18" spans="1:13" x14ac:dyDescent="0.2">
      <c r="A18" s="3">
        <v>510</v>
      </c>
      <c r="B18" s="4">
        <f t="shared" si="0"/>
        <v>0.96183206106870212</v>
      </c>
      <c r="C18" s="4">
        <f>126/131</f>
        <v>0.96183206106870234</v>
      </c>
      <c r="D18" s="4">
        <f t="shared" ref="D18:D21" si="4">122/131</f>
        <v>0.93129770992366412</v>
      </c>
      <c r="E18" s="4">
        <f t="shared" si="1"/>
        <v>0.94656488549618323</v>
      </c>
      <c r="F18" s="4">
        <f t="shared" si="2"/>
        <v>1</v>
      </c>
      <c r="G18" s="4">
        <f t="shared" si="3"/>
        <v>0.96946564885496178</v>
      </c>
      <c r="J18" s="5"/>
      <c r="K18" s="5"/>
      <c r="L18" s="5"/>
      <c r="M18" s="5"/>
    </row>
    <row r="19" spans="1:13" x14ac:dyDescent="0.2">
      <c r="A19" s="3">
        <v>540</v>
      </c>
      <c r="B19" s="4">
        <f t="shared" si="0"/>
        <v>0.96335877862595432</v>
      </c>
      <c r="C19" s="4">
        <f>127/131</f>
        <v>0.96946564885496178</v>
      </c>
      <c r="D19" s="4">
        <f t="shared" si="4"/>
        <v>0.93129770992366412</v>
      </c>
      <c r="E19" s="4">
        <f t="shared" si="1"/>
        <v>0.94656488549618323</v>
      </c>
      <c r="F19" s="4">
        <f t="shared" si="2"/>
        <v>1</v>
      </c>
      <c r="G19" s="4">
        <f t="shared" si="3"/>
        <v>0.96946564885496178</v>
      </c>
      <c r="J19" s="5"/>
      <c r="K19" s="5"/>
      <c r="L19" s="5"/>
      <c r="M19" s="5"/>
    </row>
    <row r="20" spans="1:13" x14ac:dyDescent="0.2">
      <c r="A20" s="3">
        <v>570</v>
      </c>
      <c r="B20" s="4">
        <f t="shared" si="0"/>
        <v>0.96335877862595432</v>
      </c>
      <c r="C20" s="4">
        <f t="shared" ref="C20:C21" si="5">127/131</f>
        <v>0.96946564885496178</v>
      </c>
      <c r="D20" s="4">
        <f t="shared" si="4"/>
        <v>0.93129770992366412</v>
      </c>
      <c r="E20" s="4">
        <f t="shared" si="1"/>
        <v>0.94656488549618323</v>
      </c>
      <c r="F20" s="4">
        <f t="shared" si="2"/>
        <v>1</v>
      </c>
      <c r="G20" s="4">
        <f t="shared" si="3"/>
        <v>0.96946564885496178</v>
      </c>
      <c r="J20" s="5"/>
      <c r="K20" s="5"/>
      <c r="L20" s="5"/>
      <c r="M20" s="5"/>
    </row>
    <row r="21" spans="1:13" x14ac:dyDescent="0.2">
      <c r="A21" s="3">
        <v>600</v>
      </c>
      <c r="B21" s="4">
        <f t="shared" si="0"/>
        <v>0.96335877862595432</v>
      </c>
      <c r="C21" s="4">
        <f t="shared" si="5"/>
        <v>0.96946564885496178</v>
      </c>
      <c r="D21" s="4">
        <f t="shared" si="4"/>
        <v>0.93129770992366412</v>
      </c>
      <c r="E21" s="4">
        <f t="shared" si="1"/>
        <v>0.94656488549618323</v>
      </c>
      <c r="F21" s="4">
        <f t="shared" si="2"/>
        <v>1</v>
      </c>
      <c r="G21" s="4">
        <f t="shared" si="3"/>
        <v>0.96946564885496178</v>
      </c>
      <c r="J21" s="5"/>
      <c r="K21" s="5"/>
      <c r="L21" s="5"/>
      <c r="M21" s="5"/>
    </row>
  </sheetData>
  <phoneticPr fontId="18" type="noConversion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EE2DA-EC0A-4045-BCFD-0A063F9801A3}">
  <dimension ref="A1:L21"/>
  <sheetViews>
    <sheetView zoomScale="157" workbookViewId="0">
      <selection activeCell="L8" sqref="L8"/>
    </sheetView>
  </sheetViews>
  <sheetFormatPr baseColWidth="10" defaultRowHeight="16" x14ac:dyDescent="0.2"/>
  <sheetData>
    <row r="1" spans="1:12" x14ac:dyDescent="0.2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3"/>
      <c r="I1" s="3"/>
      <c r="J1" s="3" t="s">
        <v>7</v>
      </c>
      <c r="K1" s="3" t="s">
        <v>8</v>
      </c>
      <c r="L1" s="3" t="s">
        <v>9</v>
      </c>
    </row>
    <row r="2" spans="1:12" x14ac:dyDescent="0.2">
      <c r="A2" s="3">
        <v>30</v>
      </c>
      <c r="B2" s="4">
        <f>AVERAGE(C2:G2)</f>
        <v>7.6335877862595426E-3</v>
      </c>
      <c r="C2" s="4">
        <f>0/131</f>
        <v>0</v>
      </c>
      <c r="D2" s="4">
        <f>3/131</f>
        <v>2.2900763358778626E-2</v>
      </c>
      <c r="E2" s="4">
        <f>1/131</f>
        <v>7.6335877862595417E-3</v>
      </c>
      <c r="F2" s="4">
        <f>0/131</f>
        <v>0</v>
      </c>
      <c r="G2" s="4">
        <f>1/131</f>
        <v>7.6335877862595417E-3</v>
      </c>
      <c r="H2" s="3"/>
      <c r="I2" s="5" t="s">
        <v>2</v>
      </c>
      <c r="J2" s="5" t="s">
        <v>70</v>
      </c>
      <c r="K2" s="5" t="s">
        <v>71</v>
      </c>
      <c r="L2" s="5" t="s">
        <v>72</v>
      </c>
    </row>
    <row r="3" spans="1:12" x14ac:dyDescent="0.2">
      <c r="A3" s="3">
        <v>60</v>
      </c>
      <c r="B3" s="4">
        <f t="shared" ref="B3:B21" si="0">AVERAGE(C3:G3)</f>
        <v>1.3740458015267177E-2</v>
      </c>
      <c r="C3" s="4">
        <f>2/131</f>
        <v>1.5267175572519083E-2</v>
      </c>
      <c r="D3" s="4">
        <f>4/131</f>
        <v>3.0534351145038167E-2</v>
      </c>
      <c r="E3" s="4">
        <f>1/131</f>
        <v>7.6335877862595417E-3</v>
      </c>
      <c r="F3" s="4">
        <f>1/131</f>
        <v>7.6335877862595417E-3</v>
      </c>
      <c r="G3" s="4">
        <f>1/131</f>
        <v>7.6335877862595417E-3</v>
      </c>
      <c r="H3" s="3"/>
      <c r="I3" s="5" t="s">
        <v>3</v>
      </c>
      <c r="J3" s="5" t="s">
        <v>70</v>
      </c>
      <c r="K3" s="5" t="s">
        <v>73</v>
      </c>
      <c r="L3" s="5" t="s">
        <v>74</v>
      </c>
    </row>
    <row r="4" spans="1:12" x14ac:dyDescent="0.2">
      <c r="A4" s="3">
        <v>90</v>
      </c>
      <c r="B4" s="4">
        <f t="shared" si="0"/>
        <v>1.5267175572519085E-2</v>
      </c>
      <c r="C4" s="4">
        <f>3/131</f>
        <v>2.2900763358778626E-2</v>
      </c>
      <c r="D4" s="4">
        <f>4/131</f>
        <v>3.0534351145038167E-2</v>
      </c>
      <c r="E4" s="4">
        <f>1/131</f>
        <v>7.6335877862595417E-3</v>
      </c>
      <c r="F4" s="4">
        <f>1/131</f>
        <v>7.6335877862595417E-3</v>
      </c>
      <c r="G4" s="4">
        <f>1/131</f>
        <v>7.6335877862595417E-3</v>
      </c>
      <c r="H4" s="3"/>
      <c r="I4" s="5" t="s">
        <v>4</v>
      </c>
      <c r="J4" s="5" t="s">
        <v>70</v>
      </c>
      <c r="K4" s="5" t="s">
        <v>71</v>
      </c>
      <c r="L4" s="5" t="s">
        <v>72</v>
      </c>
    </row>
    <row r="5" spans="1:12" x14ac:dyDescent="0.2">
      <c r="A5" s="3">
        <v>120</v>
      </c>
      <c r="B5" s="4">
        <f t="shared" si="0"/>
        <v>1.8320610687022901E-2</v>
      </c>
      <c r="C5" s="4">
        <f>3/131</f>
        <v>2.2900763358778626E-2</v>
      </c>
      <c r="D5" s="4">
        <f>4/131</f>
        <v>3.0534351145038167E-2</v>
      </c>
      <c r="E5" s="4">
        <f>3/131</f>
        <v>2.2900763358778626E-2</v>
      </c>
      <c r="F5" s="4">
        <f>1/131</f>
        <v>7.6335877862595417E-3</v>
      </c>
      <c r="G5" s="4">
        <f>1/131</f>
        <v>7.6335877862595417E-3</v>
      </c>
      <c r="H5" s="3"/>
      <c r="I5" s="5" t="s">
        <v>5</v>
      </c>
      <c r="J5" s="5" t="s">
        <v>70</v>
      </c>
      <c r="K5" s="5" t="s">
        <v>75</v>
      </c>
      <c r="L5" s="5" t="s">
        <v>76</v>
      </c>
    </row>
    <row r="6" spans="1:12" x14ac:dyDescent="0.2">
      <c r="A6" s="3">
        <v>150</v>
      </c>
      <c r="B6" s="4">
        <f t="shared" si="0"/>
        <v>2.2900763358778626E-2</v>
      </c>
      <c r="C6" s="4">
        <f>4/131</f>
        <v>3.0534351145038167E-2</v>
      </c>
      <c r="D6" s="4">
        <f>6/131</f>
        <v>4.5801526717557252E-2</v>
      </c>
      <c r="E6" s="4">
        <f>3/131</f>
        <v>2.2900763358778626E-2</v>
      </c>
      <c r="F6" s="4">
        <f>1/131</f>
        <v>7.6335877862595417E-3</v>
      </c>
      <c r="G6" s="4">
        <f>1/131</f>
        <v>7.6335877862595417E-3</v>
      </c>
      <c r="H6" s="3"/>
      <c r="I6" s="5" t="s">
        <v>6</v>
      </c>
      <c r="J6" s="5" t="s">
        <v>70</v>
      </c>
      <c r="K6" s="5" t="s">
        <v>77</v>
      </c>
      <c r="L6" s="5" t="s">
        <v>78</v>
      </c>
    </row>
    <row r="7" spans="1:12" x14ac:dyDescent="0.2">
      <c r="A7" s="3">
        <v>180</v>
      </c>
      <c r="B7" s="4">
        <f t="shared" si="0"/>
        <v>2.2900763358778626E-2</v>
      </c>
      <c r="C7" s="4">
        <f>4/131</f>
        <v>3.0534351145038167E-2</v>
      </c>
      <c r="D7" s="4">
        <f>6/131</f>
        <v>4.5801526717557252E-2</v>
      </c>
      <c r="E7" s="4">
        <f>3/131</f>
        <v>2.2900763358778626E-2</v>
      </c>
      <c r="F7" s="4">
        <f>1/131</f>
        <v>7.6335877862595417E-3</v>
      </c>
      <c r="G7" s="4">
        <f>1/131</f>
        <v>7.6335877862595417E-3</v>
      </c>
      <c r="H7" s="3"/>
      <c r="I7" s="5" t="s">
        <v>13</v>
      </c>
      <c r="J7" s="5" t="s">
        <v>70</v>
      </c>
      <c r="K7" s="5" t="s">
        <v>79</v>
      </c>
      <c r="L7" s="5" t="s">
        <v>80</v>
      </c>
    </row>
    <row r="8" spans="1:12" x14ac:dyDescent="0.2">
      <c r="A8" s="3">
        <v>210</v>
      </c>
      <c r="B8" s="4">
        <f t="shared" si="0"/>
        <v>2.2900763358778626E-2</v>
      </c>
      <c r="C8" s="4">
        <f>4/131</f>
        <v>3.0534351145038167E-2</v>
      </c>
      <c r="D8" s="4">
        <f>6/131</f>
        <v>4.5801526717557252E-2</v>
      </c>
      <c r="E8" s="4">
        <f>3/131</f>
        <v>2.2900763358778626E-2</v>
      </c>
      <c r="F8" s="4">
        <f>1/131</f>
        <v>7.6335877862595417E-3</v>
      </c>
      <c r="G8" s="4">
        <f>1/131</f>
        <v>7.6335877862595417E-3</v>
      </c>
      <c r="H8" s="3"/>
      <c r="I8" s="3"/>
      <c r="J8" s="5"/>
      <c r="K8" s="5"/>
      <c r="L8" s="5"/>
    </row>
    <row r="9" spans="1:12" x14ac:dyDescent="0.2">
      <c r="A9" s="3">
        <v>240</v>
      </c>
      <c r="B9" s="4">
        <f t="shared" si="0"/>
        <v>3.2061068702290078E-2</v>
      </c>
      <c r="C9" s="4">
        <f>4/131</f>
        <v>3.0534351145038167E-2</v>
      </c>
      <c r="D9" s="4">
        <f>9/131</f>
        <v>6.8702290076335881E-2</v>
      </c>
      <c r="E9" s="4">
        <f>3/131</f>
        <v>2.2900763358778626E-2</v>
      </c>
      <c r="F9" s="4">
        <f>4/131</f>
        <v>3.0534351145038167E-2</v>
      </c>
      <c r="G9" s="4">
        <f>1/131</f>
        <v>7.6335877862595417E-3</v>
      </c>
      <c r="H9" s="3"/>
      <c r="I9" s="5"/>
      <c r="J9" s="5"/>
      <c r="K9" s="5"/>
      <c r="L9" s="5"/>
    </row>
    <row r="10" spans="1:12" x14ac:dyDescent="0.2">
      <c r="A10" s="3">
        <v>270</v>
      </c>
      <c r="B10" s="4">
        <f t="shared" si="0"/>
        <v>4.1221374045801527E-2</v>
      </c>
      <c r="C10" s="4">
        <f>4/131</f>
        <v>3.0534351145038167E-2</v>
      </c>
      <c r="D10" s="4">
        <f>13/131</f>
        <v>9.9236641221374045E-2</v>
      </c>
      <c r="E10" s="4">
        <f>3/131</f>
        <v>2.2900763358778626E-2</v>
      </c>
      <c r="F10" s="4">
        <f>4/131</f>
        <v>3.0534351145038167E-2</v>
      </c>
      <c r="G10" s="4">
        <f>3/131</f>
        <v>2.2900763358778626E-2</v>
      </c>
      <c r="H10" s="3"/>
      <c r="I10" s="3"/>
      <c r="J10" s="5"/>
      <c r="K10" s="5"/>
      <c r="L10" s="5"/>
    </row>
    <row r="11" spans="1:12" x14ac:dyDescent="0.2">
      <c r="A11" s="3">
        <v>300</v>
      </c>
      <c r="B11" s="4">
        <f t="shared" si="0"/>
        <v>4.5801526717557252E-2</v>
      </c>
      <c r="C11" s="4">
        <f>4/131</f>
        <v>3.0534351145038167E-2</v>
      </c>
      <c r="D11" s="4">
        <f>15/131</f>
        <v>0.11450381679389313</v>
      </c>
      <c r="E11" s="4">
        <f>4/131</f>
        <v>3.0534351145038167E-2</v>
      </c>
      <c r="F11" s="4">
        <f>4/131</f>
        <v>3.0534351145038167E-2</v>
      </c>
      <c r="G11" s="4">
        <f>3/131</f>
        <v>2.2900763358778626E-2</v>
      </c>
      <c r="H11" s="3"/>
      <c r="I11" s="3"/>
      <c r="J11" s="5"/>
      <c r="K11" s="5"/>
      <c r="L11" s="5"/>
    </row>
    <row r="12" spans="1:12" x14ac:dyDescent="0.2">
      <c r="A12" s="3">
        <v>330</v>
      </c>
      <c r="B12" s="4">
        <f t="shared" si="0"/>
        <v>4.8854961832061075E-2</v>
      </c>
      <c r="C12" s="4">
        <f>4/131</f>
        <v>3.0534351145038167E-2</v>
      </c>
      <c r="D12" s="4">
        <f>16/131</f>
        <v>0.12213740458015267</v>
      </c>
      <c r="E12" s="4">
        <f>4/131</f>
        <v>3.0534351145038167E-2</v>
      </c>
      <c r="F12" s="4">
        <f>5/131</f>
        <v>3.8167938931297711E-2</v>
      </c>
      <c r="G12" s="4">
        <f t="shared" ref="G12:G21" si="1">3/131</f>
        <v>2.2900763358778626E-2</v>
      </c>
      <c r="H12" s="3"/>
      <c r="I12" s="3"/>
      <c r="J12" s="5"/>
      <c r="K12" s="5"/>
      <c r="L12" s="5"/>
    </row>
    <row r="13" spans="1:12" x14ac:dyDescent="0.2">
      <c r="A13" s="3">
        <v>360</v>
      </c>
      <c r="B13" s="4">
        <f t="shared" si="0"/>
        <v>4.8854961832061075E-2</v>
      </c>
      <c r="C13" s="4">
        <f>4/131</f>
        <v>3.0534351145038167E-2</v>
      </c>
      <c r="D13" s="4">
        <f>16/131</f>
        <v>0.12213740458015267</v>
      </c>
      <c r="E13" s="4">
        <f>4/131</f>
        <v>3.0534351145038167E-2</v>
      </c>
      <c r="F13" s="4">
        <f>5/131</f>
        <v>3.8167938931297711E-2</v>
      </c>
      <c r="G13" s="4">
        <f t="shared" si="1"/>
        <v>2.2900763358778626E-2</v>
      </c>
      <c r="H13" s="3"/>
      <c r="I13" s="3"/>
      <c r="J13" s="5"/>
      <c r="K13" s="5"/>
      <c r="L13" s="5"/>
    </row>
    <row r="14" spans="1:12" x14ac:dyDescent="0.2">
      <c r="A14" s="3">
        <v>390</v>
      </c>
      <c r="B14" s="4">
        <f t="shared" si="0"/>
        <v>4.8854961832061075E-2</v>
      </c>
      <c r="C14" s="4">
        <f>4/131</f>
        <v>3.0534351145038167E-2</v>
      </c>
      <c r="D14" s="4">
        <f>16/131</f>
        <v>0.12213740458015267</v>
      </c>
      <c r="E14" s="4">
        <f>4/131</f>
        <v>3.0534351145038167E-2</v>
      </c>
      <c r="F14" s="4">
        <f>5/131</f>
        <v>3.8167938931297711E-2</v>
      </c>
      <c r="G14" s="4">
        <f t="shared" si="1"/>
        <v>2.2900763358778626E-2</v>
      </c>
      <c r="H14" s="3"/>
      <c r="I14" s="3"/>
      <c r="J14" s="5"/>
      <c r="K14" s="5"/>
      <c r="L14" s="5"/>
    </row>
    <row r="15" spans="1:12" x14ac:dyDescent="0.2">
      <c r="A15" s="3">
        <v>420</v>
      </c>
      <c r="B15" s="4">
        <f t="shared" si="0"/>
        <v>4.8854961832061075E-2</v>
      </c>
      <c r="C15" s="4">
        <f>4/131</f>
        <v>3.0534351145038167E-2</v>
      </c>
      <c r="D15" s="4">
        <f>16/131</f>
        <v>0.12213740458015267</v>
      </c>
      <c r="E15" s="4">
        <f>4/131</f>
        <v>3.0534351145038167E-2</v>
      </c>
      <c r="F15" s="4">
        <f>5/131</f>
        <v>3.8167938931297711E-2</v>
      </c>
      <c r="G15" s="4">
        <f t="shared" si="1"/>
        <v>2.2900763358778626E-2</v>
      </c>
      <c r="H15" s="3"/>
      <c r="I15" s="3"/>
      <c r="J15" s="5"/>
      <c r="K15" s="5"/>
      <c r="L15" s="5"/>
    </row>
    <row r="16" spans="1:12" x14ac:dyDescent="0.2">
      <c r="A16" s="3">
        <v>450</v>
      </c>
      <c r="B16" s="4">
        <f t="shared" si="0"/>
        <v>5.4961832061068694E-2</v>
      </c>
      <c r="C16" s="4">
        <f>5/131</f>
        <v>3.8167938931297711E-2</v>
      </c>
      <c r="D16" s="4">
        <f>17/131</f>
        <v>0.12977099236641221</v>
      </c>
      <c r="E16" s="4">
        <f>6/131</f>
        <v>4.5801526717557252E-2</v>
      </c>
      <c r="F16" s="4">
        <f>5/131</f>
        <v>3.8167938931297711E-2</v>
      </c>
      <c r="G16" s="4">
        <f t="shared" si="1"/>
        <v>2.2900763358778626E-2</v>
      </c>
      <c r="H16" s="3"/>
      <c r="I16" s="3"/>
      <c r="J16" s="5"/>
      <c r="K16" s="5"/>
      <c r="L16" s="5"/>
    </row>
    <row r="17" spans="1:12" x14ac:dyDescent="0.2">
      <c r="A17" s="3">
        <v>480</v>
      </c>
      <c r="B17" s="4">
        <f t="shared" si="0"/>
        <v>5.8015267175572517E-2</v>
      </c>
      <c r="C17" s="4">
        <f>5/131</f>
        <v>3.8167938931297711E-2</v>
      </c>
      <c r="D17" s="4">
        <f>17/131</f>
        <v>0.12977099236641221</v>
      </c>
      <c r="E17" s="4">
        <f>8/131</f>
        <v>6.1068702290076333E-2</v>
      </c>
      <c r="F17" s="4">
        <f>5/131</f>
        <v>3.8167938931297711E-2</v>
      </c>
      <c r="G17" s="4">
        <f t="shared" si="1"/>
        <v>2.2900763358778626E-2</v>
      </c>
      <c r="H17" s="3"/>
      <c r="I17" s="3"/>
      <c r="J17" s="5"/>
      <c r="K17" s="5"/>
      <c r="L17" s="5"/>
    </row>
    <row r="18" spans="1:12" x14ac:dyDescent="0.2">
      <c r="A18" s="3">
        <v>510</v>
      </c>
      <c r="B18" s="4">
        <f t="shared" si="0"/>
        <v>6.2595419847328235E-2</v>
      </c>
      <c r="C18" s="4">
        <f>5/131</f>
        <v>3.8167938931297711E-2</v>
      </c>
      <c r="D18" s="4">
        <f>19/131</f>
        <v>0.14503816793893129</v>
      </c>
      <c r="E18" s="4">
        <f>9/131</f>
        <v>6.8702290076335881E-2</v>
      </c>
      <c r="F18" s="4">
        <f>5/131</f>
        <v>3.8167938931297711E-2</v>
      </c>
      <c r="G18" s="4">
        <f t="shared" si="1"/>
        <v>2.2900763358778626E-2</v>
      </c>
      <c r="H18" s="3"/>
      <c r="I18" s="3"/>
      <c r="J18" s="5"/>
      <c r="K18" s="5"/>
      <c r="L18" s="5"/>
    </row>
    <row r="19" spans="1:12" x14ac:dyDescent="0.2">
      <c r="A19" s="3">
        <v>540</v>
      </c>
      <c r="B19" s="4">
        <f t="shared" si="0"/>
        <v>6.8702290076335881E-2</v>
      </c>
      <c r="C19" s="4">
        <f>8/131</f>
        <v>6.1068702290076333E-2</v>
      </c>
      <c r="D19" s="4">
        <f>20/131</f>
        <v>0.15267175572519084</v>
      </c>
      <c r="E19" s="4">
        <f>9/131</f>
        <v>6.8702290076335881E-2</v>
      </c>
      <c r="F19" s="4">
        <f>5/131</f>
        <v>3.8167938931297711E-2</v>
      </c>
      <c r="G19" s="4">
        <f t="shared" si="1"/>
        <v>2.2900763358778626E-2</v>
      </c>
      <c r="H19" s="3"/>
      <c r="I19" s="3"/>
      <c r="J19" s="5"/>
      <c r="K19" s="5"/>
      <c r="L19" s="5"/>
    </row>
    <row r="20" spans="1:12" x14ac:dyDescent="0.2">
      <c r="A20" s="3">
        <v>570</v>
      </c>
      <c r="B20" s="4">
        <f t="shared" si="0"/>
        <v>7.1755725190839698E-2</v>
      </c>
      <c r="C20" s="4">
        <f>8/131</f>
        <v>6.1068702290076333E-2</v>
      </c>
      <c r="D20" s="4">
        <f>20/131</f>
        <v>0.15267175572519084</v>
      </c>
      <c r="E20" s="4">
        <f>9/131</f>
        <v>6.8702290076335881E-2</v>
      </c>
      <c r="F20" s="4">
        <f>7/131</f>
        <v>5.3435114503816793E-2</v>
      </c>
      <c r="G20" s="4">
        <f t="shared" si="1"/>
        <v>2.2900763358778626E-2</v>
      </c>
      <c r="H20" s="3"/>
      <c r="I20" s="3"/>
      <c r="J20" s="5"/>
      <c r="K20" s="5"/>
      <c r="L20" s="5"/>
    </row>
    <row r="21" spans="1:12" x14ac:dyDescent="0.2">
      <c r="A21" s="3">
        <v>600</v>
      </c>
      <c r="B21" s="4">
        <f t="shared" si="0"/>
        <v>7.786259541984733E-2</v>
      </c>
      <c r="C21" s="4">
        <f>9/131</f>
        <v>6.8702290076335881E-2</v>
      </c>
      <c r="D21" s="4">
        <f>22/131</f>
        <v>0.16793893129770993</v>
      </c>
      <c r="E21" s="4">
        <f>9/131</f>
        <v>6.8702290076335881E-2</v>
      </c>
      <c r="F21" s="4">
        <f>8/131</f>
        <v>6.1068702290076333E-2</v>
      </c>
      <c r="G21" s="4">
        <f t="shared" si="1"/>
        <v>2.2900763358778626E-2</v>
      </c>
      <c r="H21" s="3"/>
      <c r="I21" s="3"/>
      <c r="J21" s="5"/>
      <c r="K21" s="5"/>
      <c r="L21" s="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3A1AD-33CF-4340-A536-B015D8DA4726}">
  <dimension ref="A1:M21"/>
  <sheetViews>
    <sheetView zoomScale="161" workbookViewId="0">
      <selection sqref="A1:L21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0.35833333333333328</v>
      </c>
      <c r="C2" s="1">
        <f>8/24</f>
        <v>0.33333333333333331</v>
      </c>
      <c r="D2" s="1">
        <f>9/24</f>
        <v>0.375</v>
      </c>
      <c r="E2" s="1">
        <f>9/24</f>
        <v>0.375</v>
      </c>
      <c r="F2" s="1">
        <f>8/24</f>
        <v>0.33333333333333331</v>
      </c>
      <c r="G2" s="1">
        <f>9/24</f>
        <v>0.375</v>
      </c>
      <c r="I2" s="2" t="s">
        <v>2</v>
      </c>
      <c r="J2" s="2" t="s">
        <v>35</v>
      </c>
      <c r="K2" s="2" t="s">
        <v>36</v>
      </c>
      <c r="L2" s="2" t="s">
        <v>37</v>
      </c>
      <c r="M2" s="1">
        <v>90.6</v>
      </c>
    </row>
    <row r="3" spans="1:13" x14ac:dyDescent="0.2">
      <c r="A3">
        <v>60</v>
      </c>
      <c r="B3" s="1">
        <f t="shared" ref="B3:B21" si="0">AVERAGE(C3:G3)</f>
        <v>0.70833333333333337</v>
      </c>
      <c r="C3" s="1">
        <f>17/24</f>
        <v>0.70833333333333337</v>
      </c>
      <c r="D3" s="1">
        <f>17/24</f>
        <v>0.70833333333333337</v>
      </c>
      <c r="E3" s="1">
        <f>17/24</f>
        <v>0.70833333333333337</v>
      </c>
      <c r="F3" s="1">
        <f>17/24</f>
        <v>0.70833333333333337</v>
      </c>
      <c r="G3" s="1">
        <f>17/24</f>
        <v>0.70833333333333337</v>
      </c>
      <c r="I3" s="2" t="s">
        <v>3</v>
      </c>
      <c r="J3" s="2" t="s">
        <v>35</v>
      </c>
      <c r="K3" s="2" t="s">
        <v>36</v>
      </c>
      <c r="L3" s="2" t="s">
        <v>37</v>
      </c>
      <c r="M3" s="1">
        <v>94.6</v>
      </c>
    </row>
    <row r="4" spans="1:13" x14ac:dyDescent="0.2">
      <c r="A4">
        <v>90</v>
      </c>
      <c r="B4" s="1">
        <f t="shared" si="0"/>
        <v>0.95</v>
      </c>
      <c r="C4" s="1">
        <f>23/24</f>
        <v>0.95833333333333337</v>
      </c>
      <c r="D4" s="1">
        <f>22/24</f>
        <v>0.91666666666666663</v>
      </c>
      <c r="E4" s="1">
        <f>23/24</f>
        <v>0.95833333333333337</v>
      </c>
      <c r="F4" s="1">
        <f>22/24</f>
        <v>0.91666666666666663</v>
      </c>
      <c r="G4" s="1">
        <f>24/24</f>
        <v>1</v>
      </c>
      <c r="I4" s="2" t="s">
        <v>4</v>
      </c>
      <c r="J4" s="2" t="s">
        <v>35</v>
      </c>
      <c r="K4" s="2" t="s">
        <v>36</v>
      </c>
      <c r="L4" s="2" t="s">
        <v>37</v>
      </c>
      <c r="M4" s="1">
        <v>91</v>
      </c>
    </row>
    <row r="5" spans="1:13" x14ac:dyDescent="0.2">
      <c r="A5">
        <v>120</v>
      </c>
      <c r="B5" s="1">
        <f t="shared" si="0"/>
        <v>1</v>
      </c>
      <c r="C5" s="1">
        <f>24/24</f>
        <v>1</v>
      </c>
      <c r="D5" s="1">
        <f>24/24</f>
        <v>1</v>
      </c>
      <c r="E5" s="1">
        <f>24/24</f>
        <v>1</v>
      </c>
      <c r="F5" s="1">
        <f>24/24</f>
        <v>1</v>
      </c>
      <c r="G5" s="1">
        <f>24/24</f>
        <v>1</v>
      </c>
      <c r="I5" s="2" t="s">
        <v>5</v>
      </c>
      <c r="J5" s="2" t="s">
        <v>35</v>
      </c>
      <c r="K5" s="2" t="s">
        <v>36</v>
      </c>
      <c r="L5" s="2" t="s">
        <v>37</v>
      </c>
      <c r="M5" s="1">
        <v>96.5</v>
      </c>
    </row>
    <row r="6" spans="1:13" x14ac:dyDescent="0.2">
      <c r="A6">
        <v>150</v>
      </c>
      <c r="B6" s="1">
        <f t="shared" si="0"/>
        <v>1</v>
      </c>
      <c r="C6" s="1">
        <f t="shared" ref="C6:G21" si="1">24/24</f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I6" s="2" t="s">
        <v>6</v>
      </c>
      <c r="J6" s="2" t="s">
        <v>35</v>
      </c>
      <c r="K6" s="2" t="s">
        <v>36</v>
      </c>
      <c r="L6" s="2" t="s">
        <v>37</v>
      </c>
      <c r="M6" s="1">
        <v>89.3</v>
      </c>
    </row>
    <row r="7" spans="1:13" x14ac:dyDescent="0.2">
      <c r="A7">
        <v>180</v>
      </c>
      <c r="B7" s="1">
        <f t="shared" si="0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I7" s="2" t="s">
        <v>13</v>
      </c>
      <c r="J7" s="2" t="s">
        <v>35</v>
      </c>
      <c r="K7" s="2" t="s">
        <v>36</v>
      </c>
      <c r="L7" s="2" t="s">
        <v>37</v>
      </c>
      <c r="M7" s="1">
        <f>AVERAGE(M2:M6)</f>
        <v>92.4</v>
      </c>
    </row>
    <row r="8" spans="1:13" x14ac:dyDescent="0.2">
      <c r="A8">
        <v>210</v>
      </c>
      <c r="B8" s="1">
        <f t="shared" si="0"/>
        <v>1</v>
      </c>
      <c r="C8" s="1">
        <f t="shared" si="1"/>
        <v>1</v>
      </c>
      <c r="D8" s="1">
        <f t="shared" si="1"/>
        <v>1</v>
      </c>
      <c r="E8" s="1">
        <f t="shared" si="1"/>
        <v>1</v>
      </c>
      <c r="F8" s="1">
        <f t="shared" si="1"/>
        <v>1</v>
      </c>
      <c r="G8" s="1">
        <f t="shared" si="1"/>
        <v>1</v>
      </c>
    </row>
    <row r="9" spans="1:13" x14ac:dyDescent="0.2">
      <c r="A9">
        <v>240</v>
      </c>
      <c r="B9" s="1">
        <f t="shared" si="0"/>
        <v>1</v>
      </c>
      <c r="C9" s="1">
        <f t="shared" si="1"/>
        <v>1</v>
      </c>
      <c r="D9" s="1">
        <f t="shared" si="1"/>
        <v>1</v>
      </c>
      <c r="E9" s="1">
        <f t="shared" si="1"/>
        <v>1</v>
      </c>
      <c r="F9" s="1">
        <f t="shared" si="1"/>
        <v>1</v>
      </c>
      <c r="G9" s="1">
        <f t="shared" si="1"/>
        <v>1</v>
      </c>
    </row>
    <row r="10" spans="1:13" x14ac:dyDescent="0.2">
      <c r="A10">
        <v>270</v>
      </c>
      <c r="B10" s="1">
        <f t="shared" si="0"/>
        <v>1</v>
      </c>
      <c r="C10" s="1">
        <f t="shared" si="1"/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</row>
    <row r="17" spans="1:7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</row>
    <row r="18" spans="1:7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</row>
    <row r="19" spans="1:7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</row>
    <row r="20" spans="1:7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</row>
    <row r="21" spans="1:7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0CA9D-08E8-E74D-9EAB-753CF0FAFD9E}">
  <dimension ref="A1:L21"/>
  <sheetViews>
    <sheetView tabSelected="1" zoomScale="139" workbookViewId="0">
      <selection activeCell="L3" sqref="L3"/>
    </sheetView>
  </sheetViews>
  <sheetFormatPr baseColWidth="10" defaultRowHeight="16" x14ac:dyDescent="0.2"/>
  <sheetData>
    <row r="1" spans="1:12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</row>
    <row r="2" spans="1:12" x14ac:dyDescent="0.2">
      <c r="A2">
        <v>30</v>
      </c>
      <c r="B2" s="1">
        <f>AVERAGE(C2:G2)</f>
        <v>0</v>
      </c>
      <c r="C2" s="1">
        <f>0/24</f>
        <v>0</v>
      </c>
      <c r="D2" s="1"/>
      <c r="E2" s="1"/>
      <c r="F2" s="1"/>
      <c r="G2" s="1"/>
      <c r="I2" s="2" t="s">
        <v>2</v>
      </c>
      <c r="J2" s="2" t="s">
        <v>81</v>
      </c>
      <c r="K2" s="2" t="s">
        <v>84</v>
      </c>
      <c r="L2" s="2" t="s">
        <v>85</v>
      </c>
    </row>
    <row r="3" spans="1:12" x14ac:dyDescent="0.2">
      <c r="A3">
        <v>60</v>
      </c>
      <c r="B3" s="1">
        <f t="shared" ref="B3:B21" si="0">AVERAGE(C3:G3)</f>
        <v>0</v>
      </c>
      <c r="C3" s="1">
        <f>0/24</f>
        <v>0</v>
      </c>
      <c r="D3" s="1"/>
      <c r="E3" s="1"/>
      <c r="F3" s="1"/>
      <c r="G3" s="1"/>
      <c r="I3" s="2" t="s">
        <v>3</v>
      </c>
      <c r="J3" s="2" t="s">
        <v>81</v>
      </c>
      <c r="K3" s="2" t="s">
        <v>36</v>
      </c>
      <c r="L3" s="2" t="s">
        <v>37</v>
      </c>
    </row>
    <row r="4" spans="1:12" x14ac:dyDescent="0.2">
      <c r="A4">
        <v>90</v>
      </c>
      <c r="B4" s="1">
        <f t="shared" si="0"/>
        <v>0</v>
      </c>
      <c r="C4" s="1">
        <f>0/24</f>
        <v>0</v>
      </c>
      <c r="D4" s="1"/>
      <c r="E4" s="1"/>
      <c r="F4" s="1"/>
      <c r="G4" s="1"/>
      <c r="I4" s="2" t="s">
        <v>4</v>
      </c>
      <c r="J4" s="2" t="s">
        <v>81</v>
      </c>
      <c r="K4" s="2" t="s">
        <v>36</v>
      </c>
      <c r="L4" s="2" t="s">
        <v>37</v>
      </c>
    </row>
    <row r="5" spans="1:12" x14ac:dyDescent="0.2">
      <c r="A5">
        <v>120</v>
      </c>
      <c r="B5" s="1">
        <f t="shared" si="0"/>
        <v>0</v>
      </c>
      <c r="C5" s="1">
        <f>0/24</f>
        <v>0</v>
      </c>
      <c r="D5" s="1"/>
      <c r="E5" s="1"/>
      <c r="F5" s="1"/>
      <c r="G5" s="1"/>
      <c r="I5" s="2" t="s">
        <v>5</v>
      </c>
      <c r="J5" s="2" t="s">
        <v>81</v>
      </c>
      <c r="K5" s="2" t="s">
        <v>36</v>
      </c>
      <c r="L5" s="2" t="s">
        <v>37</v>
      </c>
    </row>
    <row r="6" spans="1:12" x14ac:dyDescent="0.2">
      <c r="A6">
        <v>150</v>
      </c>
      <c r="B6" s="1">
        <f t="shared" si="0"/>
        <v>8.3333333333333329E-2</v>
      </c>
      <c r="C6" s="1">
        <f>2/24</f>
        <v>8.3333333333333329E-2</v>
      </c>
      <c r="D6" s="1"/>
      <c r="E6" s="1"/>
      <c r="F6" s="1"/>
      <c r="G6" s="1"/>
      <c r="I6" s="2" t="s">
        <v>6</v>
      </c>
      <c r="J6" s="2" t="s">
        <v>81</v>
      </c>
      <c r="K6" s="2" t="s">
        <v>36</v>
      </c>
      <c r="L6" s="2" t="s">
        <v>37</v>
      </c>
    </row>
    <row r="7" spans="1:12" x14ac:dyDescent="0.2">
      <c r="A7">
        <v>180</v>
      </c>
      <c r="B7" s="1">
        <f t="shared" si="0"/>
        <v>8.3333333333333329E-2</v>
      </c>
      <c r="C7" s="1">
        <f>2/24</f>
        <v>8.3333333333333329E-2</v>
      </c>
      <c r="D7" s="1"/>
      <c r="E7" s="1"/>
      <c r="F7" s="1"/>
      <c r="G7" s="1"/>
      <c r="I7" s="2" t="s">
        <v>13</v>
      </c>
      <c r="J7" s="2" t="s">
        <v>81</v>
      </c>
      <c r="K7" s="2" t="s">
        <v>36</v>
      </c>
      <c r="L7" s="2" t="s">
        <v>37</v>
      </c>
    </row>
    <row r="8" spans="1:12" x14ac:dyDescent="0.2">
      <c r="A8">
        <v>210</v>
      </c>
      <c r="B8" s="1">
        <f t="shared" si="0"/>
        <v>8.3333333333333329E-2</v>
      </c>
      <c r="C8" s="1">
        <f>2/24</f>
        <v>8.3333333333333329E-2</v>
      </c>
      <c r="D8" s="1"/>
      <c r="E8" s="1"/>
      <c r="F8" s="1"/>
      <c r="G8" s="1"/>
    </row>
    <row r="9" spans="1:12" x14ac:dyDescent="0.2">
      <c r="A9">
        <v>240</v>
      </c>
      <c r="B9" s="1">
        <f t="shared" si="0"/>
        <v>8.3333333333333329E-2</v>
      </c>
      <c r="C9" s="1">
        <f>2/24</f>
        <v>8.3333333333333329E-2</v>
      </c>
      <c r="D9" s="1"/>
      <c r="E9" s="1"/>
      <c r="F9" s="1"/>
      <c r="G9" s="1"/>
    </row>
    <row r="10" spans="1:12" x14ac:dyDescent="0.2">
      <c r="A10">
        <v>270</v>
      </c>
      <c r="B10" s="1">
        <f t="shared" si="0"/>
        <v>8.3333333333333329E-2</v>
      </c>
      <c r="C10" s="1">
        <f>2/24</f>
        <v>8.3333333333333329E-2</v>
      </c>
      <c r="D10" s="1"/>
      <c r="E10" s="1"/>
      <c r="F10" s="1"/>
      <c r="G10" s="1"/>
    </row>
    <row r="11" spans="1:12" x14ac:dyDescent="0.2">
      <c r="A11">
        <v>300</v>
      </c>
      <c r="B11" s="1">
        <f t="shared" si="0"/>
        <v>8.3333333333333329E-2</v>
      </c>
      <c r="C11" s="1">
        <f>2/24</f>
        <v>8.3333333333333329E-2</v>
      </c>
      <c r="D11" s="1"/>
      <c r="E11" s="1"/>
      <c r="F11" s="1"/>
      <c r="G11" s="1"/>
    </row>
    <row r="12" spans="1:12" x14ac:dyDescent="0.2">
      <c r="A12">
        <v>330</v>
      </c>
      <c r="B12" s="1">
        <f t="shared" si="0"/>
        <v>8.3333333333333329E-2</v>
      </c>
      <c r="C12" s="1">
        <f>2/24</f>
        <v>8.3333333333333329E-2</v>
      </c>
      <c r="D12" s="1"/>
      <c r="E12" s="1"/>
      <c r="F12" s="1"/>
      <c r="G12" s="1"/>
    </row>
    <row r="13" spans="1:12" x14ac:dyDescent="0.2">
      <c r="A13">
        <v>360</v>
      </c>
      <c r="B13" s="1">
        <f t="shared" si="0"/>
        <v>0.16666666666666666</v>
      </c>
      <c r="C13" s="1">
        <f>4/24</f>
        <v>0.16666666666666666</v>
      </c>
      <c r="D13" s="1"/>
      <c r="E13" s="1"/>
      <c r="F13" s="1"/>
      <c r="G13" s="1"/>
    </row>
    <row r="14" spans="1:12" x14ac:dyDescent="0.2">
      <c r="A14">
        <v>390</v>
      </c>
      <c r="B14" s="1">
        <f t="shared" si="0"/>
        <v>0.16666666666666666</v>
      </c>
      <c r="C14" s="1">
        <f>4/24</f>
        <v>0.16666666666666666</v>
      </c>
      <c r="D14" s="1"/>
      <c r="E14" s="1"/>
      <c r="F14" s="1"/>
      <c r="G14" s="1"/>
    </row>
    <row r="15" spans="1:12" x14ac:dyDescent="0.2">
      <c r="A15">
        <v>420</v>
      </c>
      <c r="B15" s="1">
        <f t="shared" si="0"/>
        <v>0.16666666666666666</v>
      </c>
      <c r="C15" s="1">
        <f>4/24</f>
        <v>0.16666666666666666</v>
      </c>
      <c r="D15" s="1"/>
      <c r="E15" s="1"/>
      <c r="F15" s="1"/>
      <c r="G15" s="1"/>
    </row>
    <row r="16" spans="1:12" x14ac:dyDescent="0.2">
      <c r="A16">
        <v>450</v>
      </c>
      <c r="B16" s="1">
        <f t="shared" si="0"/>
        <v>0.16666666666666666</v>
      </c>
      <c r="C16" s="1">
        <f>4/24</f>
        <v>0.16666666666666666</v>
      </c>
      <c r="D16" s="1"/>
      <c r="E16" s="1"/>
      <c r="F16" s="1"/>
      <c r="G16" s="1"/>
    </row>
    <row r="17" spans="1:7" x14ac:dyDescent="0.2">
      <c r="A17">
        <v>480</v>
      </c>
      <c r="B17" s="1">
        <f t="shared" si="0"/>
        <v>0.20833333333333334</v>
      </c>
      <c r="C17" s="1">
        <f>5/24</f>
        <v>0.20833333333333334</v>
      </c>
      <c r="D17" s="1"/>
      <c r="E17" s="1"/>
      <c r="F17" s="1"/>
      <c r="G17" s="1"/>
    </row>
    <row r="18" spans="1:7" x14ac:dyDescent="0.2">
      <c r="A18">
        <v>510</v>
      </c>
      <c r="B18" s="1">
        <f t="shared" si="0"/>
        <v>0.20833333333333334</v>
      </c>
      <c r="C18" s="1">
        <f>5/24</f>
        <v>0.20833333333333334</v>
      </c>
      <c r="D18" s="1"/>
      <c r="E18" s="1"/>
      <c r="F18" s="1"/>
      <c r="G18" s="1"/>
    </row>
    <row r="19" spans="1:7" x14ac:dyDescent="0.2">
      <c r="A19">
        <v>540</v>
      </c>
      <c r="B19" s="1">
        <f t="shared" si="0"/>
        <v>0.20833333333333334</v>
      </c>
      <c r="C19" s="1">
        <f>5/24</f>
        <v>0.20833333333333334</v>
      </c>
      <c r="D19" s="1"/>
      <c r="E19" s="1"/>
      <c r="F19" s="1"/>
      <c r="G19" s="1"/>
    </row>
    <row r="20" spans="1:7" x14ac:dyDescent="0.2">
      <c r="A20">
        <v>570</v>
      </c>
      <c r="B20" s="1">
        <f t="shared" si="0"/>
        <v>0.20833333333333334</v>
      </c>
      <c r="C20" s="1">
        <f>5/24</f>
        <v>0.20833333333333334</v>
      </c>
      <c r="D20" s="1"/>
      <c r="E20" s="1"/>
      <c r="F20" s="1"/>
      <c r="G20" s="1"/>
    </row>
    <row r="21" spans="1:7" x14ac:dyDescent="0.2">
      <c r="A21">
        <v>600</v>
      </c>
      <c r="B21" s="1">
        <f t="shared" si="0"/>
        <v>0.20833333333333334</v>
      </c>
      <c r="C21" s="1">
        <f>5/24</f>
        <v>0.20833333333333334</v>
      </c>
      <c r="D21" s="1"/>
      <c r="E21" s="1"/>
      <c r="F21" s="1"/>
      <c r="G21" s="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87117-62B8-DD46-91FB-C107DA7D225A}">
  <dimension ref="A1:M21"/>
  <sheetViews>
    <sheetView zoomScale="163" workbookViewId="0">
      <selection sqref="A1:L21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0.18421052631578946</v>
      </c>
      <c r="C2" s="1">
        <f>7/38</f>
        <v>0.18421052631578946</v>
      </c>
      <c r="D2" s="1">
        <f>7/38</f>
        <v>0.18421052631578946</v>
      </c>
      <c r="E2" s="1">
        <f>7/38</f>
        <v>0.18421052631578946</v>
      </c>
      <c r="F2" s="1">
        <f>7/38</f>
        <v>0.18421052631578946</v>
      </c>
      <c r="G2" s="1">
        <f>7/38</f>
        <v>0.18421052631578946</v>
      </c>
      <c r="I2" s="2" t="s">
        <v>2</v>
      </c>
      <c r="J2" s="2" t="s">
        <v>38</v>
      </c>
      <c r="K2" s="2" t="s">
        <v>39</v>
      </c>
      <c r="L2" s="2" t="s">
        <v>40</v>
      </c>
      <c r="M2" s="1">
        <v>136.1</v>
      </c>
    </row>
    <row r="3" spans="1:13" x14ac:dyDescent="0.2">
      <c r="A3">
        <v>60</v>
      </c>
      <c r="B3" s="1">
        <f t="shared" ref="B3:B21" si="0">AVERAGE(C3:G3)</f>
        <v>0.47894736842105257</v>
      </c>
      <c r="C3" s="1">
        <f>18/38</f>
        <v>0.47368421052631576</v>
      </c>
      <c r="D3" s="1">
        <f>18/38</f>
        <v>0.47368421052631576</v>
      </c>
      <c r="E3" s="1">
        <f>19/38</f>
        <v>0.5</v>
      </c>
      <c r="F3" s="1">
        <f>18/38</f>
        <v>0.47368421052631576</v>
      </c>
      <c r="G3" s="1">
        <f>18/38</f>
        <v>0.47368421052631576</v>
      </c>
      <c r="I3" s="2" t="s">
        <v>3</v>
      </c>
      <c r="J3" s="2" t="s">
        <v>38</v>
      </c>
      <c r="K3" s="2" t="s">
        <v>39</v>
      </c>
      <c r="L3" s="2" t="s">
        <v>40</v>
      </c>
      <c r="M3" s="1">
        <v>133.1</v>
      </c>
    </row>
    <row r="4" spans="1:13" x14ac:dyDescent="0.2">
      <c r="A4">
        <v>90</v>
      </c>
      <c r="B4" s="1">
        <f t="shared" si="0"/>
        <v>0.60526315789473684</v>
      </c>
      <c r="C4" s="1">
        <f>23/38</f>
        <v>0.60526315789473684</v>
      </c>
      <c r="D4" s="1">
        <f>23/38</f>
        <v>0.60526315789473684</v>
      </c>
      <c r="E4" s="1">
        <f>23/38</f>
        <v>0.60526315789473684</v>
      </c>
      <c r="F4" s="1">
        <f>23/38</f>
        <v>0.60526315789473684</v>
      </c>
      <c r="G4" s="1">
        <f>23/38</f>
        <v>0.60526315789473684</v>
      </c>
      <c r="I4" s="2" t="s">
        <v>4</v>
      </c>
      <c r="J4" s="2" t="s">
        <v>38</v>
      </c>
      <c r="K4" s="2" t="s">
        <v>39</v>
      </c>
      <c r="L4" s="2" t="s">
        <v>40</v>
      </c>
      <c r="M4" s="1">
        <v>130.5</v>
      </c>
    </row>
    <row r="5" spans="1:13" x14ac:dyDescent="0.2">
      <c r="A5">
        <v>120</v>
      </c>
      <c r="B5" s="1">
        <f t="shared" si="0"/>
        <v>0.81052631578947376</v>
      </c>
      <c r="C5" s="1">
        <f>29/38</f>
        <v>0.76315789473684215</v>
      </c>
      <c r="D5" s="1">
        <f>31/38</f>
        <v>0.81578947368421051</v>
      </c>
      <c r="E5" s="1">
        <f>33/38</f>
        <v>0.86842105263157898</v>
      </c>
      <c r="F5" s="1">
        <f>30/38</f>
        <v>0.78947368421052633</v>
      </c>
      <c r="G5" s="1">
        <f>31/38</f>
        <v>0.81578947368421051</v>
      </c>
      <c r="I5" s="2" t="s">
        <v>5</v>
      </c>
      <c r="J5" s="2" t="s">
        <v>38</v>
      </c>
      <c r="K5" s="2" t="s">
        <v>39</v>
      </c>
      <c r="L5" s="2" t="s">
        <v>40</v>
      </c>
      <c r="M5" s="1">
        <v>134.4</v>
      </c>
    </row>
    <row r="6" spans="1:13" x14ac:dyDescent="0.2">
      <c r="A6">
        <v>150</v>
      </c>
      <c r="B6" s="1">
        <f t="shared" si="0"/>
        <v>0.97368421052631571</v>
      </c>
      <c r="C6" s="1">
        <f>37/38</f>
        <v>0.97368421052631582</v>
      </c>
      <c r="D6" s="1">
        <f>37/38</f>
        <v>0.97368421052631582</v>
      </c>
      <c r="E6" s="1">
        <f>37/38</f>
        <v>0.97368421052631582</v>
      </c>
      <c r="F6" s="1">
        <f>37/38</f>
        <v>0.97368421052631582</v>
      </c>
      <c r="G6" s="1">
        <f>37/38</f>
        <v>0.97368421052631582</v>
      </c>
      <c r="I6" s="2" t="s">
        <v>6</v>
      </c>
      <c r="J6" s="2" t="s">
        <v>38</v>
      </c>
      <c r="K6" s="2" t="s">
        <v>39</v>
      </c>
      <c r="L6" s="2" t="s">
        <v>40</v>
      </c>
      <c r="M6" s="1">
        <v>133.69999999999999</v>
      </c>
    </row>
    <row r="7" spans="1:13" x14ac:dyDescent="0.2">
      <c r="A7">
        <v>180</v>
      </c>
      <c r="B7" s="1">
        <f t="shared" si="0"/>
        <v>0.97368421052631571</v>
      </c>
      <c r="C7" s="1">
        <f t="shared" ref="C7:G21" si="1">37/38</f>
        <v>0.97368421052631582</v>
      </c>
      <c r="D7" s="1">
        <f t="shared" si="1"/>
        <v>0.97368421052631582</v>
      </c>
      <c r="E7" s="1">
        <f t="shared" si="1"/>
        <v>0.97368421052631582</v>
      </c>
      <c r="F7" s="1">
        <f t="shared" si="1"/>
        <v>0.97368421052631582</v>
      </c>
      <c r="G7" s="1">
        <f t="shared" si="1"/>
        <v>0.97368421052631582</v>
      </c>
      <c r="I7" s="2" t="s">
        <v>13</v>
      </c>
      <c r="J7" s="2" t="s">
        <v>38</v>
      </c>
      <c r="K7" s="2" t="s">
        <v>39</v>
      </c>
      <c r="L7" s="2" t="s">
        <v>40</v>
      </c>
      <c r="M7" s="1">
        <f>AVERAGE(M2:M6)</f>
        <v>133.56</v>
      </c>
    </row>
    <row r="8" spans="1:13" x14ac:dyDescent="0.2">
      <c r="A8">
        <v>210</v>
      </c>
      <c r="B8" s="1">
        <f t="shared" si="0"/>
        <v>0.97368421052631571</v>
      </c>
      <c r="C8" s="1">
        <f t="shared" si="1"/>
        <v>0.97368421052631582</v>
      </c>
      <c r="D8" s="1">
        <f t="shared" si="1"/>
        <v>0.97368421052631582</v>
      </c>
      <c r="E8" s="1">
        <f t="shared" si="1"/>
        <v>0.97368421052631582</v>
      </c>
      <c r="F8" s="1">
        <f t="shared" si="1"/>
        <v>0.97368421052631582</v>
      </c>
      <c r="G8" s="1">
        <f t="shared" si="1"/>
        <v>0.97368421052631582</v>
      </c>
    </row>
    <row r="9" spans="1:13" x14ac:dyDescent="0.2">
      <c r="A9">
        <v>240</v>
      </c>
      <c r="B9" s="1">
        <f t="shared" si="0"/>
        <v>0.97368421052631571</v>
      </c>
      <c r="C9" s="1">
        <f t="shared" si="1"/>
        <v>0.97368421052631582</v>
      </c>
      <c r="D9" s="1">
        <f t="shared" si="1"/>
        <v>0.97368421052631582</v>
      </c>
      <c r="E9" s="1">
        <f t="shared" si="1"/>
        <v>0.97368421052631582</v>
      </c>
      <c r="F9" s="1">
        <f t="shared" si="1"/>
        <v>0.97368421052631582</v>
      </c>
      <c r="G9" s="1">
        <f t="shared" si="1"/>
        <v>0.97368421052631582</v>
      </c>
    </row>
    <row r="10" spans="1:13" x14ac:dyDescent="0.2">
      <c r="A10">
        <v>270</v>
      </c>
      <c r="B10" s="1">
        <f t="shared" si="0"/>
        <v>0.97368421052631571</v>
      </c>
      <c r="C10" s="1">
        <f t="shared" si="1"/>
        <v>0.97368421052631582</v>
      </c>
      <c r="D10" s="1">
        <f t="shared" si="1"/>
        <v>0.97368421052631582</v>
      </c>
      <c r="E10" s="1">
        <f t="shared" si="1"/>
        <v>0.97368421052631582</v>
      </c>
      <c r="F10" s="1">
        <f t="shared" si="1"/>
        <v>0.97368421052631582</v>
      </c>
      <c r="G10" s="1">
        <f t="shared" si="1"/>
        <v>0.97368421052631582</v>
      </c>
    </row>
    <row r="11" spans="1:13" x14ac:dyDescent="0.2">
      <c r="A11">
        <v>300</v>
      </c>
      <c r="B11" s="1">
        <f t="shared" si="0"/>
        <v>0.97368421052631571</v>
      </c>
      <c r="C11" s="1">
        <f t="shared" si="1"/>
        <v>0.97368421052631582</v>
      </c>
      <c r="D11" s="1">
        <f t="shared" si="1"/>
        <v>0.97368421052631582</v>
      </c>
      <c r="E11" s="1">
        <f t="shared" si="1"/>
        <v>0.97368421052631582</v>
      </c>
      <c r="F11" s="1">
        <f t="shared" si="1"/>
        <v>0.97368421052631582</v>
      </c>
      <c r="G11" s="1">
        <f t="shared" si="1"/>
        <v>0.97368421052631582</v>
      </c>
    </row>
    <row r="12" spans="1:13" x14ac:dyDescent="0.2">
      <c r="A12">
        <v>330</v>
      </c>
      <c r="B12" s="1">
        <f t="shared" si="0"/>
        <v>0.97368421052631571</v>
      </c>
      <c r="C12" s="1">
        <f t="shared" si="1"/>
        <v>0.97368421052631582</v>
      </c>
      <c r="D12" s="1">
        <f t="shared" si="1"/>
        <v>0.97368421052631582</v>
      </c>
      <c r="E12" s="1">
        <f t="shared" si="1"/>
        <v>0.97368421052631582</v>
      </c>
      <c r="F12" s="1">
        <f t="shared" si="1"/>
        <v>0.97368421052631582</v>
      </c>
      <c r="G12" s="1">
        <f t="shared" si="1"/>
        <v>0.97368421052631582</v>
      </c>
    </row>
    <row r="13" spans="1:13" x14ac:dyDescent="0.2">
      <c r="A13">
        <v>360</v>
      </c>
      <c r="B13" s="1">
        <f t="shared" si="0"/>
        <v>0.97368421052631571</v>
      </c>
      <c r="C13" s="1">
        <f t="shared" si="1"/>
        <v>0.97368421052631582</v>
      </c>
      <c r="D13" s="1">
        <f t="shared" si="1"/>
        <v>0.97368421052631582</v>
      </c>
      <c r="E13" s="1">
        <f t="shared" si="1"/>
        <v>0.97368421052631582</v>
      </c>
      <c r="F13" s="1">
        <f t="shared" si="1"/>
        <v>0.97368421052631582</v>
      </c>
      <c r="G13" s="1">
        <f t="shared" si="1"/>
        <v>0.97368421052631582</v>
      </c>
    </row>
    <row r="14" spans="1:13" x14ac:dyDescent="0.2">
      <c r="A14">
        <v>390</v>
      </c>
      <c r="B14" s="1">
        <f t="shared" si="0"/>
        <v>0.97368421052631571</v>
      </c>
      <c r="C14" s="1">
        <f t="shared" si="1"/>
        <v>0.97368421052631582</v>
      </c>
      <c r="D14" s="1">
        <f t="shared" si="1"/>
        <v>0.97368421052631582</v>
      </c>
      <c r="E14" s="1">
        <f t="shared" si="1"/>
        <v>0.97368421052631582</v>
      </c>
      <c r="F14" s="1">
        <f t="shared" si="1"/>
        <v>0.97368421052631582</v>
      </c>
      <c r="G14" s="1">
        <f t="shared" si="1"/>
        <v>0.97368421052631582</v>
      </c>
    </row>
    <row r="15" spans="1:13" x14ac:dyDescent="0.2">
      <c r="A15">
        <v>420</v>
      </c>
      <c r="B15" s="1">
        <f t="shared" si="0"/>
        <v>0.97368421052631571</v>
      </c>
      <c r="C15" s="1">
        <f t="shared" si="1"/>
        <v>0.97368421052631582</v>
      </c>
      <c r="D15" s="1">
        <f t="shared" si="1"/>
        <v>0.97368421052631582</v>
      </c>
      <c r="E15" s="1">
        <f t="shared" si="1"/>
        <v>0.97368421052631582</v>
      </c>
      <c r="F15" s="1">
        <f t="shared" si="1"/>
        <v>0.97368421052631582</v>
      </c>
      <c r="G15" s="1">
        <f t="shared" si="1"/>
        <v>0.97368421052631582</v>
      </c>
    </row>
    <row r="16" spans="1:13" x14ac:dyDescent="0.2">
      <c r="A16">
        <v>450</v>
      </c>
      <c r="B16" s="1">
        <f t="shared" si="0"/>
        <v>0.97368421052631571</v>
      </c>
      <c r="C16" s="1">
        <f t="shared" si="1"/>
        <v>0.97368421052631582</v>
      </c>
      <c r="D16" s="1">
        <f t="shared" si="1"/>
        <v>0.97368421052631582</v>
      </c>
      <c r="E16" s="1">
        <f t="shared" si="1"/>
        <v>0.97368421052631582</v>
      </c>
      <c r="F16" s="1">
        <f t="shared" si="1"/>
        <v>0.97368421052631582</v>
      </c>
      <c r="G16" s="1">
        <f t="shared" si="1"/>
        <v>0.97368421052631582</v>
      </c>
    </row>
    <row r="17" spans="1:7" x14ac:dyDescent="0.2">
      <c r="A17">
        <v>480</v>
      </c>
      <c r="B17" s="1">
        <f t="shared" si="0"/>
        <v>0.97368421052631571</v>
      </c>
      <c r="C17" s="1">
        <f t="shared" si="1"/>
        <v>0.97368421052631582</v>
      </c>
      <c r="D17" s="1">
        <f t="shared" si="1"/>
        <v>0.97368421052631582</v>
      </c>
      <c r="E17" s="1">
        <f t="shared" si="1"/>
        <v>0.97368421052631582</v>
      </c>
      <c r="F17" s="1">
        <f t="shared" si="1"/>
        <v>0.97368421052631582</v>
      </c>
      <c r="G17" s="1">
        <f t="shared" si="1"/>
        <v>0.97368421052631582</v>
      </c>
    </row>
    <row r="18" spans="1:7" x14ac:dyDescent="0.2">
      <c r="A18">
        <v>510</v>
      </c>
      <c r="B18" s="1">
        <f t="shared" si="0"/>
        <v>0.97368421052631571</v>
      </c>
      <c r="C18" s="1">
        <f t="shared" si="1"/>
        <v>0.97368421052631582</v>
      </c>
      <c r="D18" s="1">
        <f t="shared" si="1"/>
        <v>0.97368421052631582</v>
      </c>
      <c r="E18" s="1">
        <f t="shared" si="1"/>
        <v>0.97368421052631582</v>
      </c>
      <c r="F18" s="1">
        <f t="shared" si="1"/>
        <v>0.97368421052631582</v>
      </c>
      <c r="G18" s="1">
        <f t="shared" si="1"/>
        <v>0.97368421052631582</v>
      </c>
    </row>
    <row r="19" spans="1:7" x14ac:dyDescent="0.2">
      <c r="A19">
        <v>540</v>
      </c>
      <c r="B19" s="1">
        <f t="shared" si="0"/>
        <v>0.97368421052631571</v>
      </c>
      <c r="C19" s="1">
        <f t="shared" si="1"/>
        <v>0.97368421052631582</v>
      </c>
      <c r="D19" s="1">
        <f t="shared" si="1"/>
        <v>0.97368421052631582</v>
      </c>
      <c r="E19" s="1">
        <f t="shared" si="1"/>
        <v>0.97368421052631582</v>
      </c>
      <c r="F19" s="1">
        <f t="shared" si="1"/>
        <v>0.97368421052631582</v>
      </c>
      <c r="G19" s="1">
        <f t="shared" si="1"/>
        <v>0.97368421052631582</v>
      </c>
    </row>
    <row r="20" spans="1:7" x14ac:dyDescent="0.2">
      <c r="A20">
        <v>570</v>
      </c>
      <c r="B20" s="1">
        <f t="shared" si="0"/>
        <v>0.97368421052631571</v>
      </c>
      <c r="C20" s="1">
        <f t="shared" si="1"/>
        <v>0.97368421052631582</v>
      </c>
      <c r="D20" s="1">
        <f t="shared" si="1"/>
        <v>0.97368421052631582</v>
      </c>
      <c r="E20" s="1">
        <f t="shared" si="1"/>
        <v>0.97368421052631582</v>
      </c>
      <c r="F20" s="1">
        <f t="shared" si="1"/>
        <v>0.97368421052631582</v>
      </c>
      <c r="G20" s="1">
        <f t="shared" si="1"/>
        <v>0.97368421052631582</v>
      </c>
    </row>
    <row r="21" spans="1:7" x14ac:dyDescent="0.2">
      <c r="A21">
        <v>600</v>
      </c>
      <c r="B21" s="1">
        <f t="shared" si="0"/>
        <v>0.97368421052631571</v>
      </c>
      <c r="C21" s="1">
        <f t="shared" si="1"/>
        <v>0.97368421052631582</v>
      </c>
      <c r="D21" s="1">
        <f t="shared" si="1"/>
        <v>0.97368421052631582</v>
      </c>
      <c r="E21" s="1">
        <f t="shared" si="1"/>
        <v>0.97368421052631582</v>
      </c>
      <c r="F21" s="1">
        <f t="shared" si="1"/>
        <v>0.97368421052631582</v>
      </c>
      <c r="G21" s="1">
        <f t="shared" si="1"/>
        <v>0.97368421052631582</v>
      </c>
    </row>
  </sheetData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A1F57-009D-1242-84DD-D9766137D51D}">
  <dimension ref="A1:L21"/>
  <sheetViews>
    <sheetView zoomScale="154" workbookViewId="0">
      <selection activeCell="C2" sqref="C2:G21"/>
    </sheetView>
  </sheetViews>
  <sheetFormatPr baseColWidth="10" defaultRowHeight="16" x14ac:dyDescent="0.2"/>
  <sheetData>
    <row r="1" spans="1:12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</row>
    <row r="2" spans="1:12" x14ac:dyDescent="0.2">
      <c r="A2">
        <v>30</v>
      </c>
      <c r="B2" s="1" t="e">
        <f>AVERAGE(C2:G2)</f>
        <v>#DIV/0!</v>
      </c>
      <c r="C2" s="1"/>
      <c r="D2" s="1"/>
      <c r="E2" s="1"/>
      <c r="F2" s="1"/>
      <c r="G2" s="1"/>
      <c r="I2" s="2" t="s">
        <v>2</v>
      </c>
      <c r="J2" s="2" t="s">
        <v>82</v>
      </c>
      <c r="K2" s="2" t="s">
        <v>39</v>
      </c>
      <c r="L2" s="2" t="s">
        <v>40</v>
      </c>
    </row>
    <row r="3" spans="1:12" x14ac:dyDescent="0.2">
      <c r="A3">
        <v>60</v>
      </c>
      <c r="B3" s="1" t="e">
        <f t="shared" ref="B3:B21" si="0">AVERAGE(C3:G3)</f>
        <v>#DIV/0!</v>
      </c>
      <c r="C3" s="1"/>
      <c r="D3" s="1"/>
      <c r="E3" s="1"/>
      <c r="F3" s="1"/>
      <c r="G3" s="1"/>
      <c r="I3" s="2" t="s">
        <v>3</v>
      </c>
      <c r="J3" s="2" t="s">
        <v>82</v>
      </c>
      <c r="K3" s="2" t="s">
        <v>39</v>
      </c>
      <c r="L3" s="2" t="s">
        <v>40</v>
      </c>
    </row>
    <row r="4" spans="1:12" x14ac:dyDescent="0.2">
      <c r="A4">
        <v>90</v>
      </c>
      <c r="B4" s="1" t="e">
        <f t="shared" si="0"/>
        <v>#DIV/0!</v>
      </c>
      <c r="C4" s="1"/>
      <c r="D4" s="1"/>
      <c r="E4" s="1"/>
      <c r="F4" s="1"/>
      <c r="G4" s="1"/>
      <c r="I4" s="2" t="s">
        <v>4</v>
      </c>
      <c r="J4" s="2" t="s">
        <v>82</v>
      </c>
      <c r="K4" s="2" t="s">
        <v>39</v>
      </c>
      <c r="L4" s="2" t="s">
        <v>40</v>
      </c>
    </row>
    <row r="5" spans="1:12" x14ac:dyDescent="0.2">
      <c r="A5">
        <v>120</v>
      </c>
      <c r="B5" s="1" t="e">
        <f t="shared" si="0"/>
        <v>#DIV/0!</v>
      </c>
      <c r="C5" s="1"/>
      <c r="D5" s="1"/>
      <c r="E5" s="1"/>
      <c r="F5" s="1"/>
      <c r="G5" s="1"/>
      <c r="I5" s="2" t="s">
        <v>5</v>
      </c>
      <c r="J5" s="2" t="s">
        <v>82</v>
      </c>
      <c r="K5" s="2" t="s">
        <v>39</v>
      </c>
      <c r="L5" s="2" t="s">
        <v>40</v>
      </c>
    </row>
    <row r="6" spans="1:12" x14ac:dyDescent="0.2">
      <c r="A6">
        <v>150</v>
      </c>
      <c r="B6" s="1" t="e">
        <f t="shared" si="0"/>
        <v>#DIV/0!</v>
      </c>
      <c r="C6" s="1"/>
      <c r="D6" s="1"/>
      <c r="E6" s="1"/>
      <c r="F6" s="1"/>
      <c r="G6" s="1"/>
      <c r="I6" s="2" t="s">
        <v>6</v>
      </c>
      <c r="J6" s="2" t="s">
        <v>82</v>
      </c>
      <c r="K6" s="2" t="s">
        <v>39</v>
      </c>
      <c r="L6" s="2" t="s">
        <v>40</v>
      </c>
    </row>
    <row r="7" spans="1:12" x14ac:dyDescent="0.2">
      <c r="A7">
        <v>180</v>
      </c>
      <c r="B7" s="1" t="e">
        <f t="shared" si="0"/>
        <v>#DIV/0!</v>
      </c>
      <c r="C7" s="1"/>
      <c r="D7" s="1"/>
      <c r="E7" s="1"/>
      <c r="F7" s="1"/>
      <c r="G7" s="1"/>
      <c r="I7" s="2" t="s">
        <v>13</v>
      </c>
      <c r="J7" s="2" t="s">
        <v>82</v>
      </c>
      <c r="K7" s="2" t="s">
        <v>39</v>
      </c>
      <c r="L7" s="2" t="s">
        <v>40</v>
      </c>
    </row>
    <row r="8" spans="1:12" x14ac:dyDescent="0.2">
      <c r="A8">
        <v>210</v>
      </c>
      <c r="B8" s="1" t="e">
        <f t="shared" si="0"/>
        <v>#DIV/0!</v>
      </c>
      <c r="C8" s="1"/>
      <c r="D8" s="1"/>
      <c r="E8" s="1"/>
      <c r="F8" s="1"/>
      <c r="G8" s="1"/>
    </row>
    <row r="9" spans="1:12" x14ac:dyDescent="0.2">
      <c r="A9">
        <v>240</v>
      </c>
      <c r="B9" s="1" t="e">
        <f t="shared" si="0"/>
        <v>#DIV/0!</v>
      </c>
      <c r="C9" s="1"/>
      <c r="D9" s="1"/>
      <c r="E9" s="1"/>
      <c r="F9" s="1"/>
      <c r="G9" s="1"/>
    </row>
    <row r="10" spans="1:12" x14ac:dyDescent="0.2">
      <c r="A10">
        <v>270</v>
      </c>
      <c r="B10" s="1" t="e">
        <f t="shared" si="0"/>
        <v>#DIV/0!</v>
      </c>
      <c r="C10" s="1"/>
      <c r="D10" s="1"/>
      <c r="E10" s="1"/>
      <c r="F10" s="1"/>
      <c r="G10" s="1"/>
    </row>
    <row r="11" spans="1:12" x14ac:dyDescent="0.2">
      <c r="A11">
        <v>300</v>
      </c>
      <c r="B11" s="1" t="e">
        <f t="shared" si="0"/>
        <v>#DIV/0!</v>
      </c>
      <c r="C11" s="1"/>
      <c r="D11" s="1"/>
      <c r="E11" s="1"/>
      <c r="F11" s="1"/>
      <c r="G11" s="1"/>
    </row>
    <row r="12" spans="1:12" x14ac:dyDescent="0.2">
      <c r="A12">
        <v>330</v>
      </c>
      <c r="B12" s="1" t="e">
        <f t="shared" si="0"/>
        <v>#DIV/0!</v>
      </c>
      <c r="C12" s="1"/>
      <c r="D12" s="1"/>
      <c r="E12" s="1"/>
      <c r="F12" s="1"/>
      <c r="G12" s="1"/>
    </row>
    <row r="13" spans="1:12" x14ac:dyDescent="0.2">
      <c r="A13">
        <v>360</v>
      </c>
      <c r="B13" s="1" t="e">
        <f t="shared" si="0"/>
        <v>#DIV/0!</v>
      </c>
      <c r="C13" s="1"/>
      <c r="D13" s="1"/>
      <c r="E13" s="1"/>
      <c r="F13" s="1"/>
      <c r="G13" s="1"/>
    </row>
    <row r="14" spans="1:12" x14ac:dyDescent="0.2">
      <c r="A14">
        <v>390</v>
      </c>
      <c r="B14" s="1" t="e">
        <f t="shared" si="0"/>
        <v>#DIV/0!</v>
      </c>
      <c r="C14" s="1"/>
      <c r="D14" s="1"/>
      <c r="E14" s="1"/>
      <c r="F14" s="1"/>
      <c r="G14" s="1"/>
    </row>
    <row r="15" spans="1:12" x14ac:dyDescent="0.2">
      <c r="A15">
        <v>420</v>
      </c>
      <c r="B15" s="1" t="e">
        <f t="shared" si="0"/>
        <v>#DIV/0!</v>
      </c>
      <c r="C15" s="1"/>
      <c r="D15" s="1"/>
      <c r="E15" s="1"/>
      <c r="F15" s="1"/>
      <c r="G15" s="1"/>
    </row>
    <row r="16" spans="1:12" x14ac:dyDescent="0.2">
      <c r="A16">
        <v>450</v>
      </c>
      <c r="B16" s="1" t="e">
        <f t="shared" si="0"/>
        <v>#DIV/0!</v>
      </c>
      <c r="C16" s="1"/>
      <c r="D16" s="1"/>
      <c r="E16" s="1"/>
      <c r="F16" s="1"/>
      <c r="G16" s="1"/>
    </row>
    <row r="17" spans="1:7" x14ac:dyDescent="0.2">
      <c r="A17">
        <v>480</v>
      </c>
      <c r="B17" s="1" t="e">
        <f t="shared" si="0"/>
        <v>#DIV/0!</v>
      </c>
      <c r="C17" s="1"/>
      <c r="D17" s="1"/>
      <c r="E17" s="1"/>
      <c r="F17" s="1"/>
      <c r="G17" s="1"/>
    </row>
    <row r="18" spans="1:7" x14ac:dyDescent="0.2">
      <c r="A18">
        <v>510</v>
      </c>
      <c r="B18" s="1" t="e">
        <f t="shared" si="0"/>
        <v>#DIV/0!</v>
      </c>
      <c r="C18" s="1"/>
      <c r="D18" s="1"/>
      <c r="E18" s="1"/>
      <c r="F18" s="1"/>
      <c r="G18" s="1"/>
    </row>
    <row r="19" spans="1:7" x14ac:dyDescent="0.2">
      <c r="A19">
        <v>540</v>
      </c>
      <c r="B19" s="1" t="e">
        <f t="shared" si="0"/>
        <v>#DIV/0!</v>
      </c>
      <c r="C19" s="1"/>
      <c r="D19" s="1"/>
      <c r="E19" s="1"/>
      <c r="F19" s="1"/>
      <c r="G19" s="1"/>
    </row>
    <row r="20" spans="1:7" x14ac:dyDescent="0.2">
      <c r="A20">
        <v>570</v>
      </c>
      <c r="B20" s="1" t="e">
        <f t="shared" si="0"/>
        <v>#DIV/0!</v>
      </c>
      <c r="C20" s="1"/>
      <c r="D20" s="1"/>
      <c r="E20" s="1"/>
      <c r="F20" s="1"/>
      <c r="G20" s="1"/>
    </row>
    <row r="21" spans="1:7" x14ac:dyDescent="0.2">
      <c r="A21">
        <v>600</v>
      </c>
      <c r="B21" s="1" t="e">
        <f t="shared" si="0"/>
        <v>#DIV/0!</v>
      </c>
      <c r="C21" s="1"/>
      <c r="D21" s="1"/>
      <c r="E21" s="1"/>
      <c r="F21" s="1"/>
      <c r="G21" s="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06EBF-D0E2-EA4D-9C90-A4DF3558B0CD}">
  <dimension ref="A1:M21"/>
  <sheetViews>
    <sheetView zoomScale="159" workbookViewId="0">
      <selection sqref="A1:L21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0.15769230769230769</v>
      </c>
      <c r="C2" s="1">
        <f>8/52</f>
        <v>0.15384615384615385</v>
      </c>
      <c r="D2" s="1">
        <f>8/52</f>
        <v>0.15384615384615385</v>
      </c>
      <c r="E2" s="1">
        <f>8/52</f>
        <v>0.15384615384615385</v>
      </c>
      <c r="F2" s="1">
        <f>9/52</f>
        <v>0.17307692307692307</v>
      </c>
      <c r="G2" s="1">
        <f>8/52</f>
        <v>0.15384615384615385</v>
      </c>
      <c r="I2" s="2" t="s">
        <v>2</v>
      </c>
      <c r="J2" s="2" t="s">
        <v>11</v>
      </c>
      <c r="K2" s="2" t="s">
        <v>41</v>
      </c>
      <c r="L2" s="2" t="s">
        <v>42</v>
      </c>
      <c r="M2" s="1">
        <v>233.7</v>
      </c>
    </row>
    <row r="3" spans="1:13" x14ac:dyDescent="0.2">
      <c r="A3">
        <v>60</v>
      </c>
      <c r="B3" s="1">
        <f t="shared" ref="B3:B21" si="0">AVERAGE(C3:G3)</f>
        <v>0.28846153846153844</v>
      </c>
      <c r="C3" s="1">
        <f>15/52</f>
        <v>0.28846153846153844</v>
      </c>
      <c r="D3" s="1">
        <f>15/52</f>
        <v>0.28846153846153844</v>
      </c>
      <c r="E3" s="1">
        <f>15/52</f>
        <v>0.28846153846153844</v>
      </c>
      <c r="F3" s="1">
        <f>15/52</f>
        <v>0.28846153846153844</v>
      </c>
      <c r="G3" s="1">
        <f>15/52</f>
        <v>0.28846153846153844</v>
      </c>
      <c r="I3" s="2" t="s">
        <v>3</v>
      </c>
      <c r="J3" s="2" t="s">
        <v>11</v>
      </c>
      <c r="K3" s="2" t="s">
        <v>41</v>
      </c>
      <c r="L3" s="2" t="s">
        <v>42</v>
      </c>
      <c r="M3" s="1">
        <v>232</v>
      </c>
    </row>
    <row r="4" spans="1:13" x14ac:dyDescent="0.2">
      <c r="A4">
        <v>90</v>
      </c>
      <c r="B4" s="1">
        <f t="shared" si="0"/>
        <v>0.46153846153846156</v>
      </c>
      <c r="C4" s="1">
        <f>24/52</f>
        <v>0.46153846153846156</v>
      </c>
      <c r="D4" s="1">
        <f>24/52</f>
        <v>0.46153846153846156</v>
      </c>
      <c r="E4" s="1">
        <f>24/52</f>
        <v>0.46153846153846156</v>
      </c>
      <c r="F4" s="1">
        <f>24/52</f>
        <v>0.46153846153846156</v>
      </c>
      <c r="G4" s="1">
        <f>24/52</f>
        <v>0.46153846153846156</v>
      </c>
      <c r="I4" s="2" t="s">
        <v>4</v>
      </c>
      <c r="J4" s="2" t="s">
        <v>11</v>
      </c>
      <c r="K4" s="2" t="s">
        <v>41</v>
      </c>
      <c r="L4" s="2" t="s">
        <v>42</v>
      </c>
      <c r="M4" s="1">
        <v>231.4</v>
      </c>
    </row>
    <row r="5" spans="1:13" x14ac:dyDescent="0.2">
      <c r="A5">
        <v>120</v>
      </c>
      <c r="B5" s="1">
        <f t="shared" si="0"/>
        <v>0.59230769230769231</v>
      </c>
      <c r="C5" s="1">
        <f>30/52</f>
        <v>0.57692307692307687</v>
      </c>
      <c r="D5" s="1">
        <f>32/52</f>
        <v>0.61538461538461542</v>
      </c>
      <c r="E5" s="1">
        <f>30/52</f>
        <v>0.57692307692307687</v>
      </c>
      <c r="F5" s="1">
        <f>32/52</f>
        <v>0.61538461538461542</v>
      </c>
      <c r="G5" s="1">
        <f>30/52</f>
        <v>0.57692307692307687</v>
      </c>
      <c r="I5" s="2" t="s">
        <v>5</v>
      </c>
      <c r="J5" s="2" t="s">
        <v>11</v>
      </c>
      <c r="K5" s="2" t="s">
        <v>41</v>
      </c>
      <c r="L5" s="2" t="s">
        <v>42</v>
      </c>
      <c r="M5" s="1">
        <v>231.4</v>
      </c>
    </row>
    <row r="6" spans="1:13" x14ac:dyDescent="0.2">
      <c r="A6">
        <v>150</v>
      </c>
      <c r="B6" s="1">
        <f t="shared" si="0"/>
        <v>0.69615384615384612</v>
      </c>
      <c r="C6" s="1">
        <f>36/52</f>
        <v>0.69230769230769229</v>
      </c>
      <c r="D6" s="1">
        <f>36/52</f>
        <v>0.69230769230769229</v>
      </c>
      <c r="E6" s="1">
        <f>36/52</f>
        <v>0.69230769230769229</v>
      </c>
      <c r="F6" s="1">
        <f>37/52</f>
        <v>0.71153846153846156</v>
      </c>
      <c r="G6" s="1">
        <f>36/52</f>
        <v>0.69230769230769229</v>
      </c>
      <c r="I6" s="2" t="s">
        <v>6</v>
      </c>
      <c r="J6" s="2" t="s">
        <v>11</v>
      </c>
      <c r="K6" s="2" t="s">
        <v>41</v>
      </c>
      <c r="L6" s="2" t="s">
        <v>42</v>
      </c>
      <c r="M6" s="1">
        <v>236.6</v>
      </c>
    </row>
    <row r="7" spans="1:13" x14ac:dyDescent="0.2">
      <c r="A7">
        <v>180</v>
      </c>
      <c r="B7" s="1">
        <f t="shared" si="0"/>
        <v>0.80769230769230771</v>
      </c>
      <c r="C7" s="1">
        <f>42/52</f>
        <v>0.80769230769230771</v>
      </c>
      <c r="D7" s="1">
        <f>42/52</f>
        <v>0.80769230769230771</v>
      </c>
      <c r="E7" s="1">
        <f>42/52</f>
        <v>0.80769230769230771</v>
      </c>
      <c r="F7" s="1">
        <f>43/52</f>
        <v>0.82692307692307687</v>
      </c>
      <c r="G7" s="1">
        <f>41/52</f>
        <v>0.78846153846153844</v>
      </c>
      <c r="I7" s="2" t="s">
        <v>13</v>
      </c>
      <c r="J7" s="2" t="s">
        <v>11</v>
      </c>
      <c r="K7" s="2" t="s">
        <v>41</v>
      </c>
      <c r="L7" s="2" t="s">
        <v>42</v>
      </c>
      <c r="M7" s="1">
        <f>AVERAGE(M2:M6)</f>
        <v>233.01999999999998</v>
      </c>
    </row>
    <row r="8" spans="1:13" x14ac:dyDescent="0.2">
      <c r="A8">
        <v>210</v>
      </c>
      <c r="B8" s="1">
        <f t="shared" si="0"/>
        <v>0.94230769230769229</v>
      </c>
      <c r="C8" s="1">
        <f>49/52</f>
        <v>0.94230769230769229</v>
      </c>
      <c r="D8" s="1">
        <f>49/52</f>
        <v>0.94230769230769229</v>
      </c>
      <c r="E8" s="1">
        <f>49/52</f>
        <v>0.94230769230769229</v>
      </c>
      <c r="F8" s="1">
        <f>49/52</f>
        <v>0.94230769230769229</v>
      </c>
      <c r="G8" s="1">
        <f>49/52</f>
        <v>0.94230769230769229</v>
      </c>
    </row>
    <row r="9" spans="1:13" x14ac:dyDescent="0.2">
      <c r="A9">
        <v>240</v>
      </c>
      <c r="B9" s="1">
        <f t="shared" si="0"/>
        <v>1</v>
      </c>
      <c r="C9" s="1">
        <f>52/52</f>
        <v>1</v>
      </c>
      <c r="D9" s="1">
        <f>52/52</f>
        <v>1</v>
      </c>
      <c r="E9" s="1">
        <f>52/52</f>
        <v>1</v>
      </c>
      <c r="F9" s="1">
        <f>52/52</f>
        <v>1</v>
      </c>
      <c r="G9" s="1">
        <f>52/52</f>
        <v>1</v>
      </c>
    </row>
    <row r="10" spans="1:13" x14ac:dyDescent="0.2">
      <c r="A10">
        <v>270</v>
      </c>
      <c r="B10" s="1">
        <f t="shared" si="0"/>
        <v>1</v>
      </c>
      <c r="C10" s="1">
        <f t="shared" ref="C10:G21" si="1">52/52</f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</row>
    <row r="17" spans="1:7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</row>
    <row r="18" spans="1:7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</row>
    <row r="19" spans="1:7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</row>
    <row r="20" spans="1:7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</row>
    <row r="21" spans="1:7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42EE-133C-D143-A3FA-B655A4CC3FB2}">
  <dimension ref="A1:L21"/>
  <sheetViews>
    <sheetView zoomScale="156" workbookViewId="0">
      <selection activeCell="C2" sqref="C2:G21"/>
    </sheetView>
  </sheetViews>
  <sheetFormatPr baseColWidth="10" defaultRowHeight="16" x14ac:dyDescent="0.2"/>
  <sheetData>
    <row r="1" spans="1:12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</row>
    <row r="2" spans="1:12" x14ac:dyDescent="0.2">
      <c r="A2">
        <v>30</v>
      </c>
      <c r="B2" s="1" t="e">
        <f>AVERAGE(C2:G2)</f>
        <v>#DIV/0!</v>
      </c>
      <c r="C2" s="1"/>
      <c r="D2" s="1"/>
      <c r="E2" s="1"/>
      <c r="F2" s="1"/>
      <c r="G2" s="1"/>
      <c r="I2" s="2" t="s">
        <v>2</v>
      </c>
      <c r="J2" s="2" t="s">
        <v>83</v>
      </c>
      <c r="K2" s="2" t="s">
        <v>41</v>
      </c>
      <c r="L2" s="2" t="s">
        <v>42</v>
      </c>
    </row>
    <row r="3" spans="1:12" x14ac:dyDescent="0.2">
      <c r="A3">
        <v>60</v>
      </c>
      <c r="B3" s="1" t="e">
        <f t="shared" ref="B3:B21" si="0">AVERAGE(C3:G3)</f>
        <v>#DIV/0!</v>
      </c>
      <c r="C3" s="1"/>
      <c r="D3" s="1"/>
      <c r="E3" s="1"/>
      <c r="F3" s="1"/>
      <c r="G3" s="1"/>
      <c r="I3" s="2" t="s">
        <v>3</v>
      </c>
      <c r="J3" s="2" t="s">
        <v>83</v>
      </c>
      <c r="K3" s="2" t="s">
        <v>41</v>
      </c>
      <c r="L3" s="2" t="s">
        <v>42</v>
      </c>
    </row>
    <row r="4" spans="1:12" x14ac:dyDescent="0.2">
      <c r="A4">
        <v>90</v>
      </c>
      <c r="B4" s="1" t="e">
        <f t="shared" si="0"/>
        <v>#DIV/0!</v>
      </c>
      <c r="C4" s="1"/>
      <c r="D4" s="1"/>
      <c r="E4" s="1"/>
      <c r="F4" s="1"/>
      <c r="G4" s="1"/>
      <c r="I4" s="2" t="s">
        <v>4</v>
      </c>
      <c r="J4" s="2" t="s">
        <v>83</v>
      </c>
      <c r="K4" s="2" t="s">
        <v>41</v>
      </c>
      <c r="L4" s="2" t="s">
        <v>42</v>
      </c>
    </row>
    <row r="5" spans="1:12" x14ac:dyDescent="0.2">
      <c r="A5">
        <v>120</v>
      </c>
      <c r="B5" s="1" t="e">
        <f t="shared" si="0"/>
        <v>#DIV/0!</v>
      </c>
      <c r="C5" s="1"/>
      <c r="D5" s="1"/>
      <c r="E5" s="1"/>
      <c r="F5" s="1"/>
      <c r="G5" s="1"/>
      <c r="I5" s="2" t="s">
        <v>5</v>
      </c>
      <c r="J5" s="2" t="s">
        <v>83</v>
      </c>
      <c r="K5" s="2" t="s">
        <v>41</v>
      </c>
      <c r="L5" s="2" t="s">
        <v>42</v>
      </c>
    </row>
    <row r="6" spans="1:12" x14ac:dyDescent="0.2">
      <c r="A6">
        <v>150</v>
      </c>
      <c r="B6" s="1" t="e">
        <f t="shared" si="0"/>
        <v>#DIV/0!</v>
      </c>
      <c r="C6" s="1"/>
      <c r="D6" s="1"/>
      <c r="E6" s="1"/>
      <c r="F6" s="1"/>
      <c r="G6" s="1"/>
      <c r="I6" s="2" t="s">
        <v>6</v>
      </c>
      <c r="J6" s="2" t="s">
        <v>83</v>
      </c>
      <c r="K6" s="2" t="s">
        <v>41</v>
      </c>
      <c r="L6" s="2" t="s">
        <v>42</v>
      </c>
    </row>
    <row r="7" spans="1:12" x14ac:dyDescent="0.2">
      <c r="A7">
        <v>180</v>
      </c>
      <c r="B7" s="1" t="e">
        <f t="shared" si="0"/>
        <v>#DIV/0!</v>
      </c>
      <c r="C7" s="1"/>
      <c r="D7" s="1"/>
      <c r="E7" s="1"/>
      <c r="F7" s="1"/>
      <c r="G7" s="1"/>
      <c r="I7" s="2" t="s">
        <v>13</v>
      </c>
      <c r="J7" s="2" t="s">
        <v>83</v>
      </c>
      <c r="K7" s="2" t="s">
        <v>41</v>
      </c>
      <c r="L7" s="2" t="s">
        <v>42</v>
      </c>
    </row>
    <row r="8" spans="1:12" x14ac:dyDescent="0.2">
      <c r="A8">
        <v>210</v>
      </c>
      <c r="B8" s="1" t="e">
        <f t="shared" si="0"/>
        <v>#DIV/0!</v>
      </c>
      <c r="C8" s="1"/>
      <c r="D8" s="1"/>
      <c r="E8" s="1"/>
      <c r="F8" s="1"/>
      <c r="G8" s="1"/>
    </row>
    <row r="9" spans="1:12" x14ac:dyDescent="0.2">
      <c r="A9">
        <v>240</v>
      </c>
      <c r="B9" s="1" t="e">
        <f t="shared" si="0"/>
        <v>#DIV/0!</v>
      </c>
      <c r="C9" s="1"/>
      <c r="D9" s="1"/>
      <c r="E9" s="1"/>
      <c r="F9" s="1"/>
      <c r="G9" s="1"/>
    </row>
    <row r="10" spans="1:12" x14ac:dyDescent="0.2">
      <c r="A10">
        <v>270</v>
      </c>
      <c r="B10" s="1" t="e">
        <f t="shared" si="0"/>
        <v>#DIV/0!</v>
      </c>
      <c r="C10" s="1"/>
      <c r="D10" s="1"/>
      <c r="E10" s="1"/>
      <c r="F10" s="1"/>
      <c r="G10" s="1"/>
    </row>
    <row r="11" spans="1:12" x14ac:dyDescent="0.2">
      <c r="A11">
        <v>300</v>
      </c>
      <c r="B11" s="1" t="e">
        <f t="shared" si="0"/>
        <v>#DIV/0!</v>
      </c>
      <c r="C11" s="1"/>
      <c r="D11" s="1"/>
      <c r="E11" s="1"/>
      <c r="F11" s="1"/>
      <c r="G11" s="1"/>
    </row>
    <row r="12" spans="1:12" x14ac:dyDescent="0.2">
      <c r="A12">
        <v>330</v>
      </c>
      <c r="B12" s="1" t="e">
        <f t="shared" si="0"/>
        <v>#DIV/0!</v>
      </c>
      <c r="C12" s="1"/>
      <c r="D12" s="1"/>
      <c r="E12" s="1"/>
      <c r="F12" s="1"/>
      <c r="G12" s="1"/>
    </row>
    <row r="13" spans="1:12" x14ac:dyDescent="0.2">
      <c r="A13">
        <v>360</v>
      </c>
      <c r="B13" s="1" t="e">
        <f t="shared" si="0"/>
        <v>#DIV/0!</v>
      </c>
      <c r="C13" s="1"/>
      <c r="D13" s="1"/>
      <c r="E13" s="1"/>
      <c r="F13" s="1"/>
      <c r="G13" s="1"/>
    </row>
    <row r="14" spans="1:12" x14ac:dyDescent="0.2">
      <c r="A14">
        <v>390</v>
      </c>
      <c r="B14" s="1" t="e">
        <f t="shared" si="0"/>
        <v>#DIV/0!</v>
      </c>
      <c r="C14" s="1"/>
      <c r="D14" s="1"/>
      <c r="E14" s="1"/>
      <c r="F14" s="1"/>
      <c r="G14" s="1"/>
    </row>
    <row r="15" spans="1:12" x14ac:dyDescent="0.2">
      <c r="A15">
        <v>420</v>
      </c>
      <c r="B15" s="1" t="e">
        <f t="shared" si="0"/>
        <v>#DIV/0!</v>
      </c>
      <c r="C15" s="1"/>
      <c r="D15" s="1"/>
      <c r="E15" s="1"/>
      <c r="F15" s="1"/>
      <c r="G15" s="1"/>
    </row>
    <row r="16" spans="1:12" x14ac:dyDescent="0.2">
      <c r="A16">
        <v>450</v>
      </c>
      <c r="B16" s="1" t="e">
        <f t="shared" si="0"/>
        <v>#DIV/0!</v>
      </c>
      <c r="C16" s="1"/>
      <c r="D16" s="1"/>
      <c r="E16" s="1"/>
      <c r="F16" s="1"/>
      <c r="G16" s="1"/>
    </row>
    <row r="17" spans="1:7" x14ac:dyDescent="0.2">
      <c r="A17">
        <v>480</v>
      </c>
      <c r="B17" s="1" t="e">
        <f t="shared" si="0"/>
        <v>#DIV/0!</v>
      </c>
      <c r="C17" s="1"/>
      <c r="D17" s="1"/>
      <c r="E17" s="1"/>
      <c r="F17" s="1"/>
      <c r="G17" s="1"/>
    </row>
    <row r="18" spans="1:7" x14ac:dyDescent="0.2">
      <c r="A18">
        <v>510</v>
      </c>
      <c r="B18" s="1" t="e">
        <f t="shared" si="0"/>
        <v>#DIV/0!</v>
      </c>
      <c r="C18" s="1"/>
      <c r="D18" s="1"/>
      <c r="E18" s="1"/>
      <c r="F18" s="1"/>
      <c r="G18" s="1"/>
    </row>
    <row r="19" spans="1:7" x14ac:dyDescent="0.2">
      <c r="A19">
        <v>540</v>
      </c>
      <c r="B19" s="1" t="e">
        <f t="shared" si="0"/>
        <v>#DIV/0!</v>
      </c>
      <c r="C19" s="1"/>
      <c r="D19" s="1"/>
      <c r="E19" s="1"/>
      <c r="F19" s="1"/>
      <c r="G19" s="1"/>
    </row>
    <row r="20" spans="1:7" x14ac:dyDescent="0.2">
      <c r="A20">
        <v>570</v>
      </c>
      <c r="B20" s="1" t="e">
        <f t="shared" si="0"/>
        <v>#DIV/0!</v>
      </c>
      <c r="C20" s="1"/>
      <c r="D20" s="1"/>
      <c r="E20" s="1"/>
      <c r="F20" s="1"/>
      <c r="G20" s="1"/>
    </row>
    <row r="21" spans="1:7" x14ac:dyDescent="0.2">
      <c r="A21">
        <v>600</v>
      </c>
      <c r="B21" s="1" t="e">
        <f t="shared" si="0"/>
        <v>#DIV/0!</v>
      </c>
      <c r="C21" s="1"/>
      <c r="D21" s="1"/>
      <c r="E21" s="1"/>
      <c r="F21" s="1"/>
      <c r="G21" s="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9D7EB-C7D2-824A-8D7A-8EA3762D7E06}">
  <dimension ref="A1:E21"/>
  <sheetViews>
    <sheetView zoomScale="150" workbookViewId="0">
      <selection activeCell="D8" sqref="D8"/>
    </sheetView>
  </sheetViews>
  <sheetFormatPr baseColWidth="10" defaultRowHeight="16" x14ac:dyDescent="0.2"/>
  <cols>
    <col min="4" max="4" width="15.6640625" customWidth="1"/>
  </cols>
  <sheetData>
    <row r="1" spans="1:5" x14ac:dyDescent="0.2">
      <c r="A1" t="s">
        <v>0</v>
      </c>
      <c r="B1" s="1" t="s">
        <v>1</v>
      </c>
    </row>
    <row r="2" spans="1:5" x14ac:dyDescent="0.2">
      <c r="A2">
        <v>30</v>
      </c>
      <c r="B2" s="1">
        <f>AVERAGE('VR Template-InteractoBot'!B2, 'XRI Assets-InteractoBot'!B2, 'EscapeProto-InteractoBot'!B2, 'EscapeRoom-InteractoBot'!B2, 'GameJam-InteractoBot'!B2, 'XRI Kit-InteractoBot'!B2, 'XRI Examples-InteractoBot'!B2)</f>
        <v>0.43009606846725462</v>
      </c>
      <c r="D2" t="s">
        <v>43</v>
      </c>
      <c r="E2" s="1">
        <f>AVERAGE('VR Template-InteractoBot'!M7, 'XRI Assets-InteractoBot'!M7, 'EscapeProto-InteractoBot'!M7, 'EscapeRoom-InteractoBot'!M7, 'GameJam-InteractoBot'!M7, 'XRI Kit-InteractoBot'!M7, 'XRI Examples-InteractoBot'!M7)</f>
        <v>148.21142857142857</v>
      </c>
    </row>
    <row r="3" spans="1:5" x14ac:dyDescent="0.2">
      <c r="A3">
        <v>60</v>
      </c>
      <c r="B3" s="1">
        <f>AVERAGE('VR Template-InteractoBot'!B3, 'XRI Assets-InteractoBot'!B3, 'EscapeProto-InteractoBot'!B3, 'EscapeRoom-InteractoBot'!B3, 'GameJam-InteractoBot'!B3, 'XRI Kit-InteractoBot'!B3, 'XRI Examples-InteractoBot'!B3)</f>
        <v>0.65378651414207867</v>
      </c>
    </row>
    <row r="4" spans="1:5" x14ac:dyDescent="0.2">
      <c r="A4">
        <v>90</v>
      </c>
      <c r="B4" s="1">
        <f>AVERAGE('VR Template-InteractoBot'!B4, 'XRI Assets-InteractoBot'!B4, 'EscapeProto-InteractoBot'!B4, 'EscapeRoom-InteractoBot'!B4, 'GameJam-InteractoBot'!B4, 'XRI Kit-InteractoBot'!B4, 'XRI Examples-InteractoBot'!B4)</f>
        <v>0.73980481150027155</v>
      </c>
    </row>
    <row r="5" spans="1:5" x14ac:dyDescent="0.2">
      <c r="A5">
        <v>120</v>
      </c>
      <c r="B5" s="1">
        <f>AVERAGE('VR Template-InteractoBot'!B5, 'XRI Assets-InteractoBot'!B5, 'EscapeProto-InteractoBot'!B5, 'EscapeRoom-InteractoBot'!B5, 'GameJam-InteractoBot'!B5, 'XRI Kit-InteractoBot'!B5, 'XRI Examples-InteractoBot'!B5)</f>
        <v>0.80542121598770855</v>
      </c>
    </row>
    <row r="6" spans="1:5" x14ac:dyDescent="0.2">
      <c r="A6">
        <v>150</v>
      </c>
      <c r="B6" s="1">
        <f>AVERAGE('VR Template-InteractoBot'!B6, 'XRI Assets-InteractoBot'!B6, 'EscapeProto-InteractoBot'!B6, 'EscapeRoom-InteractoBot'!B6, 'GameJam-InteractoBot'!B6, 'XRI Kit-InteractoBot'!B6, 'XRI Examples-InteractoBot'!B6)</f>
        <v>0.85228875182671893</v>
      </c>
    </row>
    <row r="7" spans="1:5" x14ac:dyDescent="0.2">
      <c r="A7">
        <v>180</v>
      </c>
      <c r="B7" s="1">
        <f>AVERAGE('VR Template-InteractoBot'!B7, 'XRI Assets-InteractoBot'!B7, 'EscapeProto-InteractoBot'!B7, 'EscapeRoom-InteractoBot'!B7, 'GameJam-InteractoBot'!B7, 'XRI Kit-InteractoBot'!B7, 'XRI Examples-InteractoBot'!B7)</f>
        <v>0.87738312310429634</v>
      </c>
    </row>
    <row r="8" spans="1:5" x14ac:dyDescent="0.2">
      <c r="A8">
        <v>210</v>
      </c>
      <c r="B8" s="1">
        <f>AVERAGE('VR Template-InteractoBot'!B8, 'XRI Assets-InteractoBot'!B8, 'EscapeProto-InteractoBot'!B8, 'EscapeRoom-InteractoBot'!B8, 'GameJam-InteractoBot'!B8, 'XRI Kit-InteractoBot'!B8, 'XRI Examples-InteractoBot'!B8)</f>
        <v>0.90490178764586149</v>
      </c>
    </row>
    <row r="9" spans="1:5" x14ac:dyDescent="0.2">
      <c r="A9">
        <v>240</v>
      </c>
      <c r="B9" s="1">
        <f>AVERAGE('VR Template-InteractoBot'!B9, 'XRI Assets-InteractoBot'!B9, 'EscapeProto-InteractoBot'!B9, 'EscapeRoom-InteractoBot'!B9, 'GameJam-InteractoBot'!B9, 'XRI Kit-InteractoBot'!B9, 'XRI Examples-InteractoBot'!B9)</f>
        <v>0.92230385123113134</v>
      </c>
    </row>
    <row r="10" spans="1:5" x14ac:dyDescent="0.2">
      <c r="A10">
        <v>270</v>
      </c>
      <c r="B10" s="1">
        <f>AVERAGE('VR Template-InteractoBot'!B10, 'XRI Assets-InteractoBot'!B10, 'EscapeProto-InteractoBot'!B10, 'EscapeRoom-InteractoBot'!B10, 'GameJam-InteractoBot'!B10, 'XRI Kit-InteractoBot'!B10, 'XRI Examples-InteractoBot'!B10)</f>
        <v>0.93255466911553697</v>
      </c>
    </row>
    <row r="11" spans="1:5" x14ac:dyDescent="0.2">
      <c r="A11">
        <v>300</v>
      </c>
      <c r="B11" s="1">
        <f>AVERAGE('VR Template-InteractoBot'!B11, 'XRI Assets-InteractoBot'!B11, 'EscapeProto-InteractoBot'!B11, 'EscapeRoom-InteractoBot'!B11, 'GameJam-InteractoBot'!B11, 'XRI Kit-InteractoBot'!B11, 'XRI Examples-InteractoBot'!B11)</f>
        <v>0.94302358950812148</v>
      </c>
    </row>
    <row r="12" spans="1:5" x14ac:dyDescent="0.2">
      <c r="A12">
        <v>330</v>
      </c>
      <c r="B12" s="1">
        <f>AVERAGE('VR Template-InteractoBot'!B12, 'XRI Assets-InteractoBot'!B12, 'EscapeProto-InteractoBot'!B12, 'EscapeRoom-InteractoBot'!B12, 'GameJam-InteractoBot'!B12, 'XRI Kit-InteractoBot'!B12, 'XRI Examples-InteractoBot'!B12)</f>
        <v>0.95392871491706366</v>
      </c>
    </row>
    <row r="13" spans="1:5" x14ac:dyDescent="0.2">
      <c r="A13">
        <v>360</v>
      </c>
      <c r="B13" s="1">
        <f>AVERAGE('VR Template-InteractoBot'!B13, 'XRI Assets-InteractoBot'!B13, 'EscapeProto-InteractoBot'!B13, 'EscapeRoom-InteractoBot'!B13, 'GameJam-InteractoBot'!B13, 'XRI Kit-InteractoBot'!B13, 'XRI Examples-InteractoBot'!B13)</f>
        <v>0.96199850771968087</v>
      </c>
    </row>
    <row r="14" spans="1:5" x14ac:dyDescent="0.2">
      <c r="A14">
        <v>390</v>
      </c>
      <c r="B14" s="1">
        <f>AVERAGE('VR Template-InteractoBot'!B14, 'XRI Assets-InteractoBot'!B14, 'EscapeProto-InteractoBot'!B14, 'EscapeRoom-InteractoBot'!B14, 'GameJam-InteractoBot'!B14, 'XRI Kit-InteractoBot'!B14, 'XRI Examples-InteractoBot'!B14)</f>
        <v>0.97094071055501352</v>
      </c>
    </row>
    <row r="15" spans="1:5" x14ac:dyDescent="0.2">
      <c r="A15">
        <v>420</v>
      </c>
      <c r="B15" s="1">
        <f>AVERAGE('VR Template-InteractoBot'!B15, 'XRI Assets-InteractoBot'!B15, 'EscapeProto-InteractoBot'!B15, 'EscapeRoom-InteractoBot'!B15, 'GameJam-InteractoBot'!B15, 'XRI Kit-InteractoBot'!B15, 'XRI Examples-InteractoBot'!B15)</f>
        <v>0.98075532342306138</v>
      </c>
    </row>
    <row r="16" spans="1:5" x14ac:dyDescent="0.2">
      <c r="A16">
        <v>450</v>
      </c>
      <c r="B16" s="1">
        <f>AVERAGE('VR Template-InteractoBot'!B16, 'XRI Assets-InteractoBot'!B16, 'EscapeProto-InteractoBot'!B16, 'EscapeRoom-InteractoBot'!B16, 'GameJam-InteractoBot'!B16, 'XRI Kit-InteractoBot'!B16, 'XRI Examples-InteractoBot'!B16)</f>
        <v>0.9864259886357114</v>
      </c>
    </row>
    <row r="17" spans="1:2" x14ac:dyDescent="0.2">
      <c r="A17">
        <v>480</v>
      </c>
      <c r="B17" s="1">
        <f>AVERAGE('VR Template-InteractoBot'!B17, 'XRI Assets-InteractoBot'!B17, 'EscapeProto-InteractoBot'!B17, 'EscapeRoom-InteractoBot'!B17, 'GameJam-InteractoBot'!B17, 'XRI Kit-InteractoBot'!B17, 'XRI Examples-InteractoBot'!B17)</f>
        <v>0.99013373127475179</v>
      </c>
    </row>
    <row r="18" spans="1:2" x14ac:dyDescent="0.2">
      <c r="A18">
        <v>510</v>
      </c>
      <c r="B18" s="1">
        <f>AVERAGE('VR Template-InteractoBot'!B18, 'XRI Assets-InteractoBot'!B18, 'EscapeProto-InteractoBot'!B18, 'EscapeRoom-InteractoBot'!B18, 'GameJam-InteractoBot'!B18, 'XRI Kit-InteractoBot'!B18, 'XRI Examples-InteractoBot'!B18)</f>
        <v>0.99078803879928834</v>
      </c>
    </row>
    <row r="19" spans="1:2" x14ac:dyDescent="0.2">
      <c r="A19">
        <v>540</v>
      </c>
      <c r="B19" s="1">
        <f>AVERAGE('VR Template-InteractoBot'!B19, 'XRI Assets-InteractoBot'!B19, 'EscapeProto-InteractoBot'!B19, 'EscapeRoom-InteractoBot'!B19, 'GameJam-InteractoBot'!B19, 'XRI Kit-InteractoBot'!B19, 'XRI Examples-InteractoBot'!B19)</f>
        <v>0.99100614130746723</v>
      </c>
    </row>
    <row r="20" spans="1:2" x14ac:dyDescent="0.2">
      <c r="A20">
        <v>570</v>
      </c>
      <c r="B20" s="1">
        <f>AVERAGE('VR Template-InteractoBot'!B20, 'XRI Assets-InteractoBot'!B20, 'EscapeProto-InteractoBot'!B20, 'EscapeRoom-InteractoBot'!B20, 'GameJam-InteractoBot'!B20, 'XRI Kit-InteractoBot'!B20, 'XRI Examples-InteractoBot'!B20)</f>
        <v>0.99100614130746723</v>
      </c>
    </row>
    <row r="21" spans="1:2" x14ac:dyDescent="0.2">
      <c r="A21">
        <v>600</v>
      </c>
      <c r="B21" s="1">
        <f>AVERAGE('VR Template-InteractoBot'!B21, 'XRI Assets-InteractoBot'!B21, 'EscapeProto-InteractoBot'!B21, 'EscapeRoom-InteractoBot'!B21, 'GameJam-InteractoBot'!B21, 'XRI Kit-InteractoBot'!B21, 'XRI Examples-InteractoBot'!B21)</f>
        <v>0.99100614130746723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06ECB-BB76-6147-8DB0-5BA023E66B2D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VR Template-InteractoBot</vt:lpstr>
      <vt:lpstr>VR Template-Random</vt:lpstr>
      <vt:lpstr>XRI Assets-InteractoBot</vt:lpstr>
      <vt:lpstr>XRI Assets-Random</vt:lpstr>
      <vt:lpstr>EscapeProto-InteractoBot</vt:lpstr>
      <vt:lpstr>EscapeProto-Random</vt:lpstr>
      <vt:lpstr>EscapeRoom-InteractoBot</vt:lpstr>
      <vt:lpstr>EscapeRoom-Random</vt:lpstr>
      <vt:lpstr>GameJam-InteractoBot</vt:lpstr>
      <vt:lpstr>GameJam-Random</vt:lpstr>
      <vt:lpstr>XRI Kit-InteractoBot</vt:lpstr>
      <vt:lpstr>XRI Kit-Random</vt:lpstr>
      <vt:lpstr>XRI Examples-InteractoBot</vt:lpstr>
      <vt:lpstr>XRI Examples-Random</vt:lpstr>
      <vt:lpstr>Average-InteractoBot</vt:lpstr>
      <vt:lpstr>Average-Random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Ruizhen Gu</dc:creator>
  <cp:lastModifiedBy>Ruizhen Gu</cp:lastModifiedBy>
  <dcterms:created xsi:type="dcterms:W3CDTF">2025-05-13T11:18:49Z</dcterms:created>
  <dcterms:modified xsi:type="dcterms:W3CDTF">2025-05-16T14:10:33Z</dcterms:modified>
</cp:coreProperties>
</file>