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XRintTest/evaluation/"/>
    </mc:Choice>
  </mc:AlternateContent>
  <xr:revisionPtr revIDLastSave="0" documentId="13_ncr:1_{ECB522E0-81AB-2448-8CBE-8A6F9D27712D}" xr6:coauthVersionLast="47" xr6:coauthVersionMax="47" xr10:uidLastSave="{00000000-0000-0000-0000-000000000000}"/>
  <bookViews>
    <workbookView xWindow="20" yWindow="680" windowWidth="30240" windowHeight="17300" firstSheet="9" activeTab="15" xr2:uid="{484EE131-55FD-F246-A82E-4E47E236206B}"/>
  </bookViews>
  <sheets>
    <sheet name="VR Template-XRintTest" sheetId="1" r:id="rId1"/>
    <sheet name="VR Template-Random" sheetId="2" r:id="rId2"/>
    <sheet name="XRI Assets-XRintTest" sheetId="3" r:id="rId3"/>
    <sheet name="XRI Assets-Random" sheetId="4" r:id="rId4"/>
    <sheet name="EscapeProto-XRintTest" sheetId="5" r:id="rId5"/>
    <sheet name="EscapeProto-Random" sheetId="6" r:id="rId6"/>
    <sheet name="EscapeRoom-XRintTest" sheetId="9" r:id="rId7"/>
    <sheet name="EscapeRoom-Random" sheetId="10" r:id="rId8"/>
    <sheet name="GameJam-XRintTest" sheetId="7" r:id="rId9"/>
    <sheet name="GameJam-Random" sheetId="8" r:id="rId10"/>
    <sheet name="XRI Kit-XRintTest" sheetId="11" r:id="rId11"/>
    <sheet name="XRI Kit-Random" sheetId="12" r:id="rId12"/>
    <sheet name="XRI Examples-XRintTest" sheetId="13" r:id="rId13"/>
    <sheet name="XRI Examples-Random" sheetId="14" r:id="rId14"/>
    <sheet name="XRToolKitEssentials-XRintTest" sheetId="18" r:id="rId15"/>
    <sheet name="XRToolKitEssentials-Random" sheetId="17" r:id="rId16"/>
    <sheet name="Average-XRintTest" sheetId="15" r:id="rId17"/>
    <sheet name="Average-Random" sheetId="16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7" l="1"/>
  <c r="F21" i="17"/>
  <c r="E21" i="17"/>
  <c r="D21" i="17"/>
  <c r="C21" i="17"/>
  <c r="B21" i="17"/>
  <c r="G20" i="17"/>
  <c r="F20" i="17"/>
  <c r="E20" i="17"/>
  <c r="D20" i="17"/>
  <c r="C20" i="17"/>
  <c r="B20" i="17" s="1"/>
  <c r="G19" i="17"/>
  <c r="F19" i="17"/>
  <c r="E19" i="17"/>
  <c r="D19" i="17"/>
  <c r="C19" i="17"/>
  <c r="B19" i="17"/>
  <c r="G18" i="17"/>
  <c r="F18" i="17"/>
  <c r="E18" i="17"/>
  <c r="D18" i="17"/>
  <c r="C18" i="17"/>
  <c r="B18" i="17" s="1"/>
  <c r="G17" i="17"/>
  <c r="F17" i="17"/>
  <c r="E17" i="17"/>
  <c r="D17" i="17"/>
  <c r="C17" i="17"/>
  <c r="B17" i="17"/>
  <c r="G16" i="17"/>
  <c r="F16" i="17"/>
  <c r="E16" i="17"/>
  <c r="D16" i="17"/>
  <c r="C16" i="17"/>
  <c r="B16" i="17" s="1"/>
  <c r="G15" i="17"/>
  <c r="F15" i="17"/>
  <c r="E15" i="17"/>
  <c r="D15" i="17"/>
  <c r="C15" i="17"/>
  <c r="B15" i="17"/>
  <c r="G14" i="17"/>
  <c r="F14" i="17"/>
  <c r="E14" i="17"/>
  <c r="D14" i="17"/>
  <c r="C14" i="17"/>
  <c r="B14" i="17" s="1"/>
  <c r="G13" i="17"/>
  <c r="F13" i="17"/>
  <c r="E13" i="17"/>
  <c r="D13" i="17"/>
  <c r="C13" i="17"/>
  <c r="B13" i="17"/>
  <c r="G12" i="17"/>
  <c r="F12" i="17"/>
  <c r="E12" i="17"/>
  <c r="D12" i="17"/>
  <c r="C12" i="17"/>
  <c r="B12" i="17" s="1"/>
  <c r="G11" i="17"/>
  <c r="F11" i="17"/>
  <c r="E11" i="17"/>
  <c r="D11" i="17"/>
  <c r="C11" i="17"/>
  <c r="B11" i="17"/>
  <c r="G10" i="17"/>
  <c r="F10" i="17"/>
  <c r="E10" i="17"/>
  <c r="D10" i="17"/>
  <c r="C10" i="17"/>
  <c r="B10" i="17" s="1"/>
  <c r="G9" i="17"/>
  <c r="F9" i="17"/>
  <c r="E9" i="17"/>
  <c r="D9" i="17"/>
  <c r="C9" i="17"/>
  <c r="B9" i="17"/>
  <c r="G8" i="17"/>
  <c r="F8" i="17"/>
  <c r="E8" i="17"/>
  <c r="D8" i="17"/>
  <c r="C8" i="17"/>
  <c r="B8" i="17" s="1"/>
  <c r="G7" i="17"/>
  <c r="F7" i="17"/>
  <c r="E7" i="17"/>
  <c r="D7" i="17"/>
  <c r="C7" i="17"/>
  <c r="B7" i="17"/>
  <c r="G6" i="17"/>
  <c r="F6" i="17"/>
  <c r="E6" i="17"/>
  <c r="D6" i="17"/>
  <c r="C6" i="17"/>
  <c r="B6" i="17" s="1"/>
  <c r="G5" i="17"/>
  <c r="F5" i="17"/>
  <c r="E5" i="17"/>
  <c r="D5" i="17"/>
  <c r="C5" i="17"/>
  <c r="B5" i="17"/>
  <c r="G4" i="17"/>
  <c r="F4" i="17"/>
  <c r="E4" i="17"/>
  <c r="D4" i="17"/>
  <c r="C4" i="17"/>
  <c r="B4" i="17" s="1"/>
  <c r="G3" i="17"/>
  <c r="F3" i="17"/>
  <c r="E3" i="17"/>
  <c r="D3" i="17"/>
  <c r="C3" i="17"/>
  <c r="B3" i="17"/>
  <c r="G2" i="17"/>
  <c r="F2" i="17"/>
  <c r="E2" i="17"/>
  <c r="D2" i="17"/>
  <c r="C2" i="17"/>
  <c r="B2" i="17" s="1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F21" i="18"/>
  <c r="F20" i="18"/>
  <c r="F19" i="18"/>
  <c r="F18" i="18"/>
  <c r="F17" i="18"/>
  <c r="F16" i="18"/>
  <c r="F15" i="18"/>
  <c r="F14" i="18"/>
  <c r="F13" i="18"/>
  <c r="F12" i="18"/>
  <c r="F11" i="18"/>
  <c r="F10" i="18"/>
  <c r="F9" i="18"/>
  <c r="F8" i="18"/>
  <c r="F7" i="18"/>
  <c r="F6" i="18"/>
  <c r="F5" i="18"/>
  <c r="F4" i="18"/>
  <c r="F3" i="18"/>
  <c r="F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4" i="18"/>
  <c r="C5" i="18"/>
  <c r="C3" i="18"/>
  <c r="C2" i="18"/>
  <c r="B21" i="18"/>
  <c r="B20" i="18"/>
  <c r="B9" i="18"/>
  <c r="N7" i="18"/>
  <c r="B7" i="18"/>
  <c r="B5" i="18"/>
  <c r="B3" i="2"/>
  <c r="B4" i="2"/>
  <c r="B5" i="2"/>
  <c r="B6" i="2"/>
  <c r="B7" i="2"/>
  <c r="B8" i="2"/>
  <c r="B9" i="2"/>
  <c r="B10" i="2"/>
  <c r="B10" i="16" s="1"/>
  <c r="B11" i="2"/>
  <c r="B12" i="2"/>
  <c r="B12" i="16" s="1"/>
  <c r="B13" i="2"/>
  <c r="B13" i="16" s="1"/>
  <c r="B14" i="2"/>
  <c r="B14" i="16" s="1"/>
  <c r="B15" i="2"/>
  <c r="B15" i="16" s="1"/>
  <c r="B16" i="2"/>
  <c r="B17" i="2"/>
  <c r="B17" i="16" s="1"/>
  <c r="B18" i="2"/>
  <c r="B19" i="2"/>
  <c r="B20" i="2"/>
  <c r="B20" i="16" s="1"/>
  <c r="B21" i="2"/>
  <c r="B2" i="2"/>
  <c r="J16" i="2"/>
  <c r="J17" i="2"/>
  <c r="J18" i="2"/>
  <c r="J19" i="2"/>
  <c r="J20" i="2"/>
  <c r="J21" i="2"/>
  <c r="J15" i="2"/>
  <c r="J14" i="2"/>
  <c r="J13" i="2"/>
  <c r="J12" i="2"/>
  <c r="J11" i="2"/>
  <c r="J10" i="2"/>
  <c r="J9" i="2"/>
  <c r="J8" i="2"/>
  <c r="J7" i="2"/>
  <c r="J6" i="2"/>
  <c r="J5" i="2"/>
  <c r="J4" i="2"/>
  <c r="J2" i="2"/>
  <c r="J3" i="2"/>
  <c r="B5" i="16"/>
  <c r="B6" i="16"/>
  <c r="B7" i="16"/>
  <c r="B11" i="16"/>
  <c r="B16" i="16"/>
  <c r="B18" i="16"/>
  <c r="B19" i="16"/>
  <c r="B21" i="16"/>
  <c r="L10" i="2"/>
  <c r="L11" i="2"/>
  <c r="L12" i="2"/>
  <c r="L13" i="2"/>
  <c r="L14" i="2"/>
  <c r="L15" i="2"/>
  <c r="L16" i="2"/>
  <c r="L17" i="2"/>
  <c r="L18" i="2"/>
  <c r="L19" i="2"/>
  <c r="L20" i="2"/>
  <c r="L21" i="2"/>
  <c r="L9" i="2"/>
  <c r="L8" i="2"/>
  <c r="L7" i="2"/>
  <c r="L6" i="2"/>
  <c r="L5" i="2"/>
  <c r="L4" i="2"/>
  <c r="L3" i="2"/>
  <c r="L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8" i="2"/>
  <c r="K7" i="2"/>
  <c r="K6" i="2"/>
  <c r="K5" i="2"/>
  <c r="K4" i="2"/>
  <c r="K3" i="2"/>
  <c r="K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0" i="2"/>
  <c r="H11" i="2"/>
  <c r="H12" i="2"/>
  <c r="H13" i="2"/>
  <c r="H14" i="2"/>
  <c r="H15" i="2"/>
  <c r="H16" i="2"/>
  <c r="H17" i="2"/>
  <c r="H18" i="2"/>
  <c r="H19" i="2"/>
  <c r="H20" i="2"/>
  <c r="H21" i="2"/>
  <c r="H9" i="2"/>
  <c r="H8" i="2"/>
  <c r="H7" i="2"/>
  <c r="H6" i="2"/>
  <c r="H5" i="2"/>
  <c r="H4" i="2"/>
  <c r="H3" i="2"/>
  <c r="H2" i="2"/>
  <c r="Q13" i="2"/>
  <c r="P13" i="2"/>
  <c r="O13" i="2"/>
  <c r="B3" i="16"/>
  <c r="B4" i="16"/>
  <c r="B8" i="16"/>
  <c r="B9" i="16"/>
  <c r="G9" i="14"/>
  <c r="G10" i="14"/>
  <c r="G11" i="14"/>
  <c r="G12" i="14"/>
  <c r="G13" i="14"/>
  <c r="G14" i="14"/>
  <c r="B14" i="14" s="1"/>
  <c r="G15" i="14"/>
  <c r="G16" i="14"/>
  <c r="G17" i="14"/>
  <c r="G18" i="14"/>
  <c r="G19" i="14"/>
  <c r="G20" i="14"/>
  <c r="G21" i="14"/>
  <c r="G8" i="14"/>
  <c r="G7" i="14"/>
  <c r="G6" i="14"/>
  <c r="G5" i="14"/>
  <c r="G4" i="14"/>
  <c r="G3" i="14"/>
  <c r="G2" i="14"/>
  <c r="F12" i="14"/>
  <c r="F13" i="14"/>
  <c r="F14" i="14"/>
  <c r="F15" i="14"/>
  <c r="F16" i="14"/>
  <c r="F17" i="14"/>
  <c r="F18" i="14"/>
  <c r="F19" i="14"/>
  <c r="F20" i="14"/>
  <c r="F21" i="14"/>
  <c r="F3" i="14"/>
  <c r="F4" i="14"/>
  <c r="F5" i="14"/>
  <c r="F6" i="14"/>
  <c r="F7" i="14"/>
  <c r="F8" i="14"/>
  <c r="F9" i="14"/>
  <c r="F10" i="14"/>
  <c r="F11" i="14"/>
  <c r="F2" i="14"/>
  <c r="E17" i="14"/>
  <c r="E18" i="14"/>
  <c r="E19" i="14"/>
  <c r="E20" i="14"/>
  <c r="E21" i="14"/>
  <c r="E6" i="14"/>
  <c r="E7" i="14"/>
  <c r="E8" i="14"/>
  <c r="E9" i="14"/>
  <c r="E10" i="14"/>
  <c r="E11" i="14"/>
  <c r="E12" i="14"/>
  <c r="E13" i="14"/>
  <c r="E14" i="14"/>
  <c r="E15" i="14"/>
  <c r="E16" i="14"/>
  <c r="E5" i="14"/>
  <c r="E4" i="14"/>
  <c r="E3" i="14"/>
  <c r="E2" i="14"/>
  <c r="D6" i="14"/>
  <c r="D7" i="14"/>
  <c r="D8" i="14"/>
  <c r="D9" i="14"/>
  <c r="D10" i="14"/>
  <c r="B10" i="14" s="1"/>
  <c r="D11" i="14"/>
  <c r="D12" i="14"/>
  <c r="D13" i="14"/>
  <c r="D14" i="14"/>
  <c r="D15" i="14"/>
  <c r="D16" i="14"/>
  <c r="B16" i="14" s="1"/>
  <c r="D17" i="14"/>
  <c r="B17" i="14" s="1"/>
  <c r="D18" i="14"/>
  <c r="B18" i="14" s="1"/>
  <c r="D19" i="14"/>
  <c r="D20" i="14"/>
  <c r="D21" i="14"/>
  <c r="D5" i="14"/>
  <c r="D4" i="14"/>
  <c r="D3" i="14"/>
  <c r="D2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B19" i="14" s="1"/>
  <c r="C20" i="14"/>
  <c r="C21" i="14"/>
  <c r="C5" i="14"/>
  <c r="C4" i="14"/>
  <c r="C3" i="14"/>
  <c r="C2" i="14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B14" i="12" s="1"/>
  <c r="F13" i="12"/>
  <c r="B13" i="12" s="1"/>
  <c r="F12" i="12"/>
  <c r="B12" i="12" s="1"/>
  <c r="F11" i="12"/>
  <c r="B11" i="12" s="1"/>
  <c r="F10" i="12"/>
  <c r="F9" i="12"/>
  <c r="F8" i="12"/>
  <c r="F7" i="12"/>
  <c r="F6" i="12"/>
  <c r="B6" i="12" s="1"/>
  <c r="F5" i="12"/>
  <c r="B5" i="12" s="1"/>
  <c r="F4" i="12"/>
  <c r="B4" i="12" s="1"/>
  <c r="F3" i="12"/>
  <c r="B3" i="12" s="1"/>
  <c r="F2" i="12"/>
  <c r="B2" i="12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B15" i="12" s="1"/>
  <c r="E16" i="12"/>
  <c r="B16" i="12" s="1"/>
  <c r="E17" i="12"/>
  <c r="B17" i="12" s="1"/>
  <c r="E18" i="12"/>
  <c r="B18" i="12" s="1"/>
  <c r="E19" i="12"/>
  <c r="B19" i="12" s="1"/>
  <c r="E20" i="12"/>
  <c r="B20" i="12" s="1"/>
  <c r="E21" i="12"/>
  <c r="B21" i="12" s="1"/>
  <c r="E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G17" i="8"/>
  <c r="G18" i="8"/>
  <c r="G19" i="8"/>
  <c r="G20" i="8"/>
  <c r="G21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12" i="14"/>
  <c r="B9" i="14"/>
  <c r="B8" i="14"/>
  <c r="B7" i="14"/>
  <c r="B6" i="14"/>
  <c r="B5" i="14"/>
  <c r="B4" i="14"/>
  <c r="B3" i="14"/>
  <c r="B2" i="14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B12" i="10" s="1"/>
  <c r="G13" i="10"/>
  <c r="G14" i="10"/>
  <c r="G15" i="10"/>
  <c r="G16" i="10"/>
  <c r="G17" i="10"/>
  <c r="G18" i="10"/>
  <c r="G19" i="10"/>
  <c r="B19" i="10" s="1"/>
  <c r="G20" i="10"/>
  <c r="B20" i="10" s="1"/>
  <c r="G21" i="10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B17" i="10" s="1"/>
  <c r="C16" i="10"/>
  <c r="B16" i="10" s="1"/>
  <c r="C15" i="10"/>
  <c r="B15" i="10" s="1"/>
  <c r="C14" i="10"/>
  <c r="B14" i="10" s="1"/>
  <c r="C13" i="10"/>
  <c r="C12" i="10"/>
  <c r="C11" i="10"/>
  <c r="B11" i="10" s="1"/>
  <c r="C10" i="10"/>
  <c r="B10" i="10" s="1"/>
  <c r="C9" i="10"/>
  <c r="C8" i="10"/>
  <c r="B8" i="10" s="1"/>
  <c r="C7" i="10"/>
  <c r="B7" i="10" s="1"/>
  <c r="C6" i="10"/>
  <c r="B6" i="10" s="1"/>
  <c r="C5" i="10"/>
  <c r="C4" i="10"/>
  <c r="B4" i="10" s="1"/>
  <c r="C3" i="10"/>
  <c r="B3" i="10" s="1"/>
  <c r="C2" i="10"/>
  <c r="B2" i="10" s="1"/>
  <c r="B18" i="10"/>
  <c r="B13" i="10"/>
  <c r="B9" i="10"/>
  <c r="B5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B20" i="6" s="1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B9" i="6" s="1"/>
  <c r="C8" i="6"/>
  <c r="C7" i="6"/>
  <c r="C6" i="6"/>
  <c r="C5" i="6"/>
  <c r="B5" i="6" s="1"/>
  <c r="C4" i="6"/>
  <c r="C3" i="6"/>
  <c r="B3" i="6" s="1"/>
  <c r="C2" i="6"/>
  <c r="B20" i="4"/>
  <c r="B2" i="4"/>
  <c r="B21" i="6"/>
  <c r="B17" i="6"/>
  <c r="B11" i="6"/>
  <c r="B7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B21" i="4" s="1"/>
  <c r="D11" i="4"/>
  <c r="D10" i="4"/>
  <c r="D3" i="4"/>
  <c r="B3" i="4" s="1"/>
  <c r="D4" i="4"/>
  <c r="D5" i="4"/>
  <c r="B5" i="4" s="1"/>
  <c r="D6" i="4"/>
  <c r="D7" i="4"/>
  <c r="D8" i="4"/>
  <c r="B8" i="4" s="1"/>
  <c r="D9" i="4"/>
  <c r="B9" i="4" s="1"/>
  <c r="D2" i="4"/>
  <c r="C7" i="4"/>
  <c r="B7" i="4" s="1"/>
  <c r="C8" i="4"/>
  <c r="C9" i="4"/>
  <c r="C10" i="4"/>
  <c r="B10" i="4" s="1"/>
  <c r="C11" i="4"/>
  <c r="B11" i="4" s="1"/>
  <c r="C12" i="4"/>
  <c r="B12" i="4" s="1"/>
  <c r="C13" i="4"/>
  <c r="B13" i="4" s="1"/>
  <c r="C14" i="4"/>
  <c r="B14" i="4" s="1"/>
  <c r="C15" i="4"/>
  <c r="B15" i="4" s="1"/>
  <c r="C16" i="4"/>
  <c r="B16" i="4" s="1"/>
  <c r="C17" i="4"/>
  <c r="B17" i="4" s="1"/>
  <c r="C18" i="4"/>
  <c r="B18" i="4" s="1"/>
  <c r="C19" i="4"/>
  <c r="B19" i="4" s="1"/>
  <c r="C20" i="4"/>
  <c r="C21" i="4"/>
  <c r="C6" i="4"/>
  <c r="B6" i="4" s="1"/>
  <c r="C5" i="4"/>
  <c r="C4" i="4"/>
  <c r="B4" i="4" s="1"/>
  <c r="C3" i="4"/>
  <c r="C2" i="4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D4" i="2"/>
  <c r="D3" i="2"/>
  <c r="D2" i="2"/>
  <c r="C4" i="2"/>
  <c r="C3" i="2"/>
  <c r="C2" i="2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B19" i="13" s="1"/>
  <c r="C20" i="13"/>
  <c r="B20" i="13" s="1"/>
  <c r="C21" i="13"/>
  <c r="C9" i="13"/>
  <c r="C8" i="13"/>
  <c r="B8" i="13" s="1"/>
  <c r="C7" i="13"/>
  <c r="B7" i="13" s="1"/>
  <c r="C6" i="13"/>
  <c r="B6" i="13" s="1"/>
  <c r="C5" i="13"/>
  <c r="B5" i="13" s="1"/>
  <c r="C4" i="13"/>
  <c r="B4" i="13" s="1"/>
  <c r="C3" i="13"/>
  <c r="C2" i="13"/>
  <c r="B18" i="13"/>
  <c r="M7" i="13"/>
  <c r="B3" i="13"/>
  <c r="B2" i="13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B11" i="11" s="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B19" i="11" s="1"/>
  <c r="D18" i="11"/>
  <c r="D17" i="11"/>
  <c r="D16" i="11"/>
  <c r="B16" i="11" s="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B12" i="11" s="1"/>
  <c r="C13" i="11"/>
  <c r="C14" i="11"/>
  <c r="C15" i="11"/>
  <c r="C16" i="11"/>
  <c r="C17" i="11"/>
  <c r="C18" i="11"/>
  <c r="B18" i="11" s="1"/>
  <c r="C19" i="11"/>
  <c r="C20" i="11"/>
  <c r="C21" i="11"/>
  <c r="C6" i="11"/>
  <c r="C5" i="11"/>
  <c r="C4" i="11"/>
  <c r="B4" i="11" s="1"/>
  <c r="C3" i="11"/>
  <c r="B3" i="11" s="1"/>
  <c r="C2" i="11"/>
  <c r="B2" i="11" s="1"/>
  <c r="M7" i="11"/>
  <c r="B5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B19" i="7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B4" i="7" s="1"/>
  <c r="D3" i="7"/>
  <c r="D2" i="7"/>
  <c r="B2" i="7" s="1"/>
  <c r="C4" i="7"/>
  <c r="C3" i="7"/>
  <c r="B3" i="7" s="1"/>
  <c r="C2" i="7"/>
  <c r="M7" i="7"/>
  <c r="G17" i="9"/>
  <c r="G18" i="9"/>
  <c r="G19" i="9"/>
  <c r="G20" i="9"/>
  <c r="G21" i="9"/>
  <c r="B21" i="9" s="1"/>
  <c r="G16" i="9"/>
  <c r="G15" i="9"/>
  <c r="G14" i="9"/>
  <c r="B14" i="9" s="1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B11" i="9" s="1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B19" i="9" s="1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B20" i="9" s="1"/>
  <c r="C21" i="9"/>
  <c r="C19" i="9"/>
  <c r="C17" i="9"/>
  <c r="C18" i="9"/>
  <c r="C16" i="9"/>
  <c r="C15" i="9"/>
  <c r="B15" i="9" s="1"/>
  <c r="C14" i="9"/>
  <c r="C13" i="9"/>
  <c r="C12" i="9"/>
  <c r="B12" i="9" s="1"/>
  <c r="C11" i="9"/>
  <c r="C10" i="9"/>
  <c r="C9" i="9"/>
  <c r="B9" i="9" s="1"/>
  <c r="C8" i="9"/>
  <c r="B8" i="9" s="1"/>
  <c r="C7" i="9"/>
  <c r="B7" i="9" s="1"/>
  <c r="C6" i="9"/>
  <c r="B6" i="9" s="1"/>
  <c r="C5" i="9"/>
  <c r="B5" i="9" s="1"/>
  <c r="C4" i="9"/>
  <c r="C3" i="9"/>
  <c r="B3" i="9" s="1"/>
  <c r="C2" i="9"/>
  <c r="F21" i="9"/>
  <c r="F20" i="9"/>
  <c r="F19" i="9"/>
  <c r="F18" i="9"/>
  <c r="F17" i="9"/>
  <c r="B17" i="9"/>
  <c r="B16" i="9"/>
  <c r="B13" i="9"/>
  <c r="B10" i="9"/>
  <c r="M7" i="9"/>
  <c r="B4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F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B16" i="5" s="1"/>
  <c r="C17" i="5"/>
  <c r="C18" i="5"/>
  <c r="C19" i="5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E6" i="3"/>
  <c r="E5" i="3"/>
  <c r="E4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M7" i="3"/>
  <c r="M7" i="1"/>
  <c r="E2" i="15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3" i="1"/>
  <c r="B1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E5" i="1"/>
  <c r="E6" i="1"/>
  <c r="E7" i="1"/>
  <c r="E8" i="1"/>
  <c r="E9" i="1"/>
  <c r="B9" i="1" s="1"/>
  <c r="E10" i="1"/>
  <c r="E11" i="1"/>
  <c r="E12" i="1"/>
  <c r="E13" i="1"/>
  <c r="E14" i="1"/>
  <c r="B14" i="1" s="1"/>
  <c r="E15" i="1"/>
  <c r="E16" i="1"/>
  <c r="E17" i="1"/>
  <c r="E18" i="1"/>
  <c r="E19" i="1"/>
  <c r="E20" i="1"/>
  <c r="E21" i="1"/>
  <c r="E4" i="1"/>
  <c r="D4" i="1"/>
  <c r="B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C20" i="1"/>
  <c r="C19" i="1"/>
  <c r="B19" i="1" s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1" i="18" l="1"/>
  <c r="B14" i="18"/>
  <c r="B3" i="18"/>
  <c r="B16" i="18"/>
  <c r="B15" i="18"/>
  <c r="B13" i="18"/>
  <c r="B18" i="18"/>
  <c r="B12" i="18"/>
  <c r="B10" i="18"/>
  <c r="B6" i="18"/>
  <c r="B8" i="18"/>
  <c r="B19" i="18"/>
  <c r="B4" i="18"/>
  <c r="B2" i="18"/>
  <c r="B17" i="18"/>
  <c r="B21" i="14"/>
  <c r="B20" i="14"/>
  <c r="B15" i="14"/>
  <c r="B13" i="14"/>
  <c r="B11" i="14"/>
  <c r="B2" i="16"/>
  <c r="B9" i="12"/>
  <c r="B10" i="12"/>
  <c r="B7" i="12"/>
  <c r="B8" i="12"/>
  <c r="B17" i="5"/>
  <c r="B8" i="5"/>
  <c r="B17" i="1"/>
  <c r="B6" i="1"/>
  <c r="B16" i="1"/>
  <c r="B7" i="1"/>
  <c r="B18" i="1"/>
  <c r="B5" i="1"/>
  <c r="B5" i="15" s="1"/>
  <c r="B3" i="1"/>
  <c r="B15" i="5"/>
  <c r="B20" i="1"/>
  <c r="B13" i="5"/>
  <c r="B21" i="1"/>
  <c r="B21" i="15" s="1"/>
  <c r="B4" i="3"/>
  <c r="B21" i="3"/>
  <c r="B5" i="3"/>
  <c r="B7" i="3"/>
  <c r="B21" i="13"/>
  <c r="B13" i="13"/>
  <c r="B21" i="10"/>
  <c r="B6" i="3"/>
  <c r="B19" i="3"/>
  <c r="B19" i="15" s="1"/>
  <c r="B18" i="9"/>
  <c r="B15" i="13"/>
  <c r="B19" i="6"/>
  <c r="B13" i="1"/>
  <c r="B21" i="11"/>
  <c r="B2" i="5"/>
  <c r="B3" i="5"/>
  <c r="B20" i="11"/>
  <c r="B15" i="6"/>
  <c r="B6" i="5"/>
  <c r="B17" i="11"/>
  <c r="B13" i="6"/>
  <c r="B19" i="5"/>
  <c r="B7" i="5"/>
  <c r="B16" i="6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4" i="15" s="1"/>
  <c r="B10" i="5"/>
  <c r="B11" i="5"/>
  <c r="B21" i="5"/>
  <c r="B20" i="5"/>
  <c r="B14" i="5"/>
  <c r="B18" i="5"/>
  <c r="B14" i="3"/>
  <c r="B14" i="15" s="1"/>
  <c r="B13" i="3"/>
  <c r="B16" i="3"/>
  <c r="B15" i="3"/>
  <c r="B10" i="3"/>
  <c r="B12" i="3"/>
  <c r="B12" i="15" s="1"/>
  <c r="B9" i="3"/>
  <c r="B9" i="15" s="1"/>
  <c r="B3" i="3"/>
  <c r="B3" i="15" s="1"/>
  <c r="B11" i="1"/>
  <c r="B11" i="15" s="1"/>
  <c r="B2" i="1"/>
  <c r="B2" i="15" s="1"/>
  <c r="B10" i="1"/>
  <c r="B15" i="1"/>
  <c r="B8" i="1"/>
  <c r="B8" i="15" s="1"/>
  <c r="B20" i="15" l="1"/>
  <c r="B13" i="15"/>
  <c r="B18" i="15"/>
  <c r="B7" i="15"/>
  <c r="B16" i="15"/>
  <c r="B6" i="15"/>
  <c r="B17" i="15"/>
  <c r="B15" i="15"/>
  <c r="B10" i="15"/>
</calcChain>
</file>

<file path=xl/sharedStrings.xml><?xml version="1.0" encoding="utf-8"?>
<sst xmlns="http://schemas.openxmlformats.org/spreadsheetml/2006/main" count="567" uniqueCount="114">
  <si>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</si>
  <si>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</si>
  <si>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</si>
  <si>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</si>
  <si>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</si>
  <si>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</si>
  <si>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</si>
  <si>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</si>
  <si>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</si>
  <si>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</si>
  <si>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</si>
  <si>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</si>
  <si>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</si>
  <si>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</si>
  <si>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</si>
  <si>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</si>
  <si>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</si>
  <si>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</si>
  <si>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</si>
  <si>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</si>
  <si>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</si>
  <si>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</si>
  <si>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</si>
  <si>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</si>
  <si>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</si>
  <si>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</si>
  <si>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</si>
  <si>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</si>
  <si>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</si>
  <si>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</si>
  <si>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</si>
  <si>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</si>
  <si>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</si>
  <si>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</si>
  <si>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</si>
  <si>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</si>
  <si>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</si>
  <si>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</si>
  <si>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</si>
  <si>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</si>
  <si>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</si>
  <si>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</si>
  <si>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</si>
  <si>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</si>
  <si>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</si>
  <si>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2/8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</si>
  <si>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</si>
  <si>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</si>
  <si>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</si>
  <si>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</si>
  <si>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</si>
  <si>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</si>
  <si>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</si>
  <si>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</si>
  <si>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</si>
  <si>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</si>
  <si>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</si>
  <si>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</si>
  <si>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</si>
  <si>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</si>
  <si>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</si>
  <si>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</si>
  <si>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</si>
  <si>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</si>
  <si>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</si>
  <si>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</si>
  <si>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</si>
  <si>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</si>
  <si>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</si>
  <si>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</si>
  <si>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</si>
  <si>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</si>
  <si>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</si>
  <si>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</si>
  <si>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</si>
  <si>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</si>
  <si>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</si>
  <si>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</si>
  <si>
    <t>8/21</t>
  </si>
  <si>
    <t>8/24</t>
  </si>
  <si>
    <t>6/21</t>
  </si>
  <si>
    <t>6/24</t>
  </si>
  <si>
    <t>6.6/21</t>
  </si>
  <si>
    <t>6.6/24</t>
  </si>
  <si>
    <t>1/28</t>
  </si>
  <si>
    <t>1/38</t>
  </si>
  <si>
    <t>2/28</t>
  </si>
  <si>
    <t>2/38</t>
  </si>
  <si>
    <t>0/28</t>
  </si>
  <si>
    <t>0/38</t>
  </si>
  <si>
    <t>0.6/28</t>
  </si>
  <si>
    <t>0.6/38</t>
  </si>
  <si>
    <t>1/44</t>
  </si>
  <si>
    <t>2/44</t>
  </si>
  <si>
    <t>1/52</t>
  </si>
  <si>
    <t>2/52</t>
  </si>
  <si>
    <t>0/44</t>
  </si>
  <si>
    <t>0/52</t>
  </si>
  <si>
    <t>Run 6</t>
  </si>
  <si>
    <t>Run 7</t>
  </si>
  <si>
    <t>Run 8</t>
  </si>
  <si>
    <t>Run 9</t>
  </si>
  <si>
    <t>Run 10</t>
  </si>
  <si>
    <t>Number</t>
  </si>
  <si>
    <t>4.2/8</t>
  </si>
  <si>
    <t>4.2/9</t>
  </si>
  <si>
    <t>Tempt 6</t>
  </si>
  <si>
    <t>Tempt 7</t>
  </si>
  <si>
    <t>Tempt 8</t>
  </si>
  <si>
    <t>Tempt 9</t>
  </si>
  <si>
    <t>Tempt 10</t>
  </si>
  <si>
    <t>Socket</t>
  </si>
  <si>
    <t>5/5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</si>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</sst>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Q21"/>
  <sheetViews>
    <sheetView zoomScale="159" workbookViewId="0">
      <selection activeCell="F14" sqref="F14"/>
    </sheetView>
  </sheetViews>
  <sheetFormatPr baseColWidth="10" defaultRowHeight="16" x14ac:dyDescent="0.2"/>
  <cols>
    <col min="2" max="13" width="10.83203125" style="1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N1" s="2"/>
      <c r="O1" s="2" t="s">
        <v>7</v>
      </c>
      <c r="P1" s="2" t="s">
        <v>8</v>
      </c>
      <c r="Q1" s="2" t="s">
        <v>9</v>
      </c>
    </row>
    <row r="2" spans="1:17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H2" s="1">
        <f>2/9</f>
        <v>0.22222222222222221</v>
      </c>
      <c r="I2" s="1">
        <f t="shared" ref="I2:I7" si="1">0/9</f>
        <v>0</v>
      </c>
      <c r="J2" s="1">
        <f>1/9</f>
        <v>0.1111111111111111</v>
      </c>
      <c r="K2" s="1">
        <f>2/9</f>
        <v>0.22222222222222221</v>
      </c>
      <c r="L2" s="1">
        <f>2/9</f>
        <v>0.22222222222222221</v>
      </c>
      <c r="N2" t="s">
        <v>103</v>
      </c>
      <c r="O2" s="7">
        <v>1</v>
      </c>
      <c r="P2" s="7">
        <v>8</v>
      </c>
      <c r="Q2" s="7">
        <v>9</v>
      </c>
    </row>
    <row r="3" spans="1:17" x14ac:dyDescent="0.2">
      <c r="A3">
        <v>60</v>
      </c>
      <c r="B3" s="1">
        <f t="shared" ref="B3:B21" si="2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3">2/9</f>
        <v>0.22222222222222221</v>
      </c>
      <c r="G3" s="1">
        <f t="shared" ref="G3:G21" si="4">3/9</f>
        <v>0.33333333333333331</v>
      </c>
      <c r="H3" s="1">
        <f>3/9</f>
        <v>0.33333333333333331</v>
      </c>
      <c r="I3" s="1">
        <f t="shared" si="1"/>
        <v>0</v>
      </c>
      <c r="J3" s="1">
        <f t="shared" ref="J3:J12" si="5">2/9</f>
        <v>0.22222222222222221</v>
      </c>
      <c r="K3" s="1">
        <f>3/9</f>
        <v>0.33333333333333331</v>
      </c>
      <c r="L3" s="1">
        <f>2/9</f>
        <v>0.22222222222222221</v>
      </c>
      <c r="N3" s="2" t="s">
        <v>2</v>
      </c>
      <c r="O3" s="7">
        <v>0</v>
      </c>
      <c r="P3" s="7">
        <v>2</v>
      </c>
      <c r="Q3" s="7">
        <v>2</v>
      </c>
    </row>
    <row r="4" spans="1:17" x14ac:dyDescent="0.2">
      <c r="A4">
        <v>90</v>
      </c>
      <c r="B4" s="1">
        <f t="shared" si="2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3"/>
        <v>0.22222222222222221</v>
      </c>
      <c r="G4" s="1">
        <f t="shared" si="4"/>
        <v>0.33333333333333331</v>
      </c>
      <c r="H4" s="1">
        <f>4/9</f>
        <v>0.44444444444444442</v>
      </c>
      <c r="I4" s="1">
        <f t="shared" si="1"/>
        <v>0</v>
      </c>
      <c r="J4" s="1">
        <f t="shared" si="5"/>
        <v>0.22222222222222221</v>
      </c>
      <c r="K4" s="1">
        <f>3/9</f>
        <v>0.33333333333333331</v>
      </c>
      <c r="L4" s="1">
        <f>2/9</f>
        <v>0.22222222222222221</v>
      </c>
      <c r="N4" s="2" t="s">
        <v>3</v>
      </c>
      <c r="O4" s="7">
        <v>0</v>
      </c>
      <c r="P4" s="7">
        <v>4</v>
      </c>
      <c r="Q4" s="7">
        <v>4</v>
      </c>
    </row>
    <row r="5" spans="1:17" x14ac:dyDescent="0.2">
      <c r="A5">
        <v>120</v>
      </c>
      <c r="B5" s="1">
        <f t="shared" si="2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3"/>
        <v>0.22222222222222221</v>
      </c>
      <c r="G5" s="1">
        <f t="shared" si="4"/>
        <v>0.33333333333333331</v>
      </c>
      <c r="H5" s="1">
        <f>4/9</f>
        <v>0.44444444444444442</v>
      </c>
      <c r="I5" s="1">
        <f t="shared" si="1"/>
        <v>0</v>
      </c>
      <c r="J5" s="1">
        <f t="shared" si="5"/>
        <v>0.22222222222222221</v>
      </c>
      <c r="K5" s="1">
        <f>3/9</f>
        <v>0.33333333333333331</v>
      </c>
      <c r="L5" s="1">
        <f>2/9</f>
        <v>0.22222222222222221</v>
      </c>
      <c r="N5" s="2" t="s">
        <v>4</v>
      </c>
      <c r="O5" s="7">
        <v>0</v>
      </c>
      <c r="P5" s="7">
        <v>4</v>
      </c>
      <c r="Q5" s="7">
        <v>4</v>
      </c>
    </row>
    <row r="6" spans="1:17" x14ac:dyDescent="0.2">
      <c r="A6">
        <v>150</v>
      </c>
      <c r="B6" s="1">
        <f t="shared" si="2"/>
        <v>0.24444444444444446</v>
      </c>
      <c r="C6" s="1">
        <f>1/9</f>
        <v>0.1111111111111111</v>
      </c>
      <c r="D6" s="1">
        <f t="shared" ref="D6:F21" si="6">4/9</f>
        <v>0.44444444444444442</v>
      </c>
      <c r="E6" s="1">
        <f>1/9</f>
        <v>0.1111111111111111</v>
      </c>
      <c r="F6" s="1">
        <f t="shared" si="3"/>
        <v>0.22222222222222221</v>
      </c>
      <c r="G6" s="1">
        <f t="shared" si="4"/>
        <v>0.33333333333333331</v>
      </c>
      <c r="H6" s="1">
        <f>4/9</f>
        <v>0.44444444444444442</v>
      </c>
      <c r="I6" s="1">
        <f t="shared" si="1"/>
        <v>0</v>
      </c>
      <c r="J6" s="1">
        <f t="shared" si="5"/>
        <v>0.22222222222222221</v>
      </c>
      <c r="K6" s="1">
        <f>3/9</f>
        <v>0.33333333333333331</v>
      </c>
      <c r="L6" s="1">
        <f>2/9</f>
        <v>0.22222222222222221</v>
      </c>
      <c r="N6" s="2" t="s">
        <v>5</v>
      </c>
      <c r="O6" s="7">
        <v>0</v>
      </c>
      <c r="P6" s="7">
        <v>5</v>
      </c>
      <c r="Q6" s="7">
        <v>5</v>
      </c>
    </row>
    <row r="7" spans="1:17" x14ac:dyDescent="0.2">
      <c r="A7">
        <v>180</v>
      </c>
      <c r="B7" s="1">
        <f t="shared" si="2"/>
        <v>0.26666666666666666</v>
      </c>
      <c r="C7" s="1">
        <f t="shared" ref="C7:C21" si="7">2/9</f>
        <v>0.22222222222222221</v>
      </c>
      <c r="D7" s="1">
        <f t="shared" si="6"/>
        <v>0.44444444444444442</v>
      </c>
      <c r="E7" s="1">
        <f>1/9</f>
        <v>0.1111111111111111</v>
      </c>
      <c r="F7" s="1">
        <f t="shared" si="3"/>
        <v>0.22222222222222221</v>
      </c>
      <c r="G7" s="1">
        <f t="shared" si="4"/>
        <v>0.33333333333333331</v>
      </c>
      <c r="H7" s="1">
        <f>4/9</f>
        <v>0.44444444444444442</v>
      </c>
      <c r="I7" s="1">
        <f t="shared" si="1"/>
        <v>0</v>
      </c>
      <c r="J7" s="1">
        <f t="shared" si="5"/>
        <v>0.22222222222222221</v>
      </c>
      <c r="K7" s="1">
        <f>4/9</f>
        <v>0.44444444444444442</v>
      </c>
      <c r="L7" s="1">
        <f>2/9</f>
        <v>0.22222222222222221</v>
      </c>
      <c r="N7" s="2" t="s">
        <v>6</v>
      </c>
      <c r="O7" s="7">
        <v>0</v>
      </c>
      <c r="P7" s="7">
        <v>3</v>
      </c>
      <c r="Q7" s="7">
        <v>3</v>
      </c>
    </row>
    <row r="8" spans="1:17" x14ac:dyDescent="0.2">
      <c r="A8">
        <v>210</v>
      </c>
      <c r="B8" s="1">
        <f t="shared" si="2"/>
        <v>0.26666666666666666</v>
      </c>
      <c r="C8" s="1">
        <f t="shared" si="7"/>
        <v>0.22222222222222221</v>
      </c>
      <c r="D8" s="1">
        <f t="shared" si="6"/>
        <v>0.44444444444444442</v>
      </c>
      <c r="E8" s="1">
        <f>1/9</f>
        <v>0.1111111111111111</v>
      </c>
      <c r="F8" s="1">
        <f t="shared" si="3"/>
        <v>0.22222222222222221</v>
      </c>
      <c r="G8" s="1">
        <f t="shared" si="4"/>
        <v>0.33333333333333331</v>
      </c>
      <c r="H8" s="1">
        <f>4/9</f>
        <v>0.44444444444444442</v>
      </c>
      <c r="I8" s="1">
        <f>1/9</f>
        <v>0.1111111111111111</v>
      </c>
      <c r="J8" s="1">
        <f t="shared" si="5"/>
        <v>0.22222222222222221</v>
      </c>
      <c r="K8" s="1">
        <f>6/9</f>
        <v>0.66666666666666663</v>
      </c>
      <c r="L8" s="1">
        <f>3/9</f>
        <v>0.33333333333333331</v>
      </c>
      <c r="N8" s="2" t="s">
        <v>98</v>
      </c>
      <c r="O8" s="1">
        <v>0</v>
      </c>
      <c r="P8" s="1">
        <v>5</v>
      </c>
      <c r="Q8" s="1">
        <v>5</v>
      </c>
    </row>
    <row r="9" spans="1:17" x14ac:dyDescent="0.2">
      <c r="A9">
        <v>240</v>
      </c>
      <c r="B9" s="1">
        <f t="shared" si="2"/>
        <v>0.31111111111111106</v>
      </c>
      <c r="C9" s="1">
        <f t="shared" si="7"/>
        <v>0.22222222222222221</v>
      </c>
      <c r="D9" s="1">
        <f t="shared" si="6"/>
        <v>0.44444444444444442</v>
      </c>
      <c r="E9" s="1">
        <f>2/9</f>
        <v>0.22222222222222221</v>
      </c>
      <c r="F9" s="1">
        <f t="shared" ref="F9:F14" si="8">3/9</f>
        <v>0.33333333333333331</v>
      </c>
      <c r="G9" s="1">
        <f t="shared" si="4"/>
        <v>0.33333333333333331</v>
      </c>
      <c r="H9" s="1">
        <f>5/9</f>
        <v>0.55555555555555558</v>
      </c>
      <c r="I9" s="1">
        <f>1/9</f>
        <v>0.1111111111111111</v>
      </c>
      <c r="J9" s="1">
        <f t="shared" si="5"/>
        <v>0.22222222222222221</v>
      </c>
      <c r="K9" s="1">
        <f t="shared" ref="J9:K21" si="9">6/9</f>
        <v>0.66666666666666663</v>
      </c>
      <c r="L9" s="1">
        <f>4/9</f>
        <v>0.44444444444444442</v>
      </c>
      <c r="N9" s="2" t="s">
        <v>99</v>
      </c>
      <c r="O9" s="1">
        <v>0</v>
      </c>
      <c r="P9" s="1">
        <v>3</v>
      </c>
      <c r="Q9" s="1">
        <v>3</v>
      </c>
    </row>
    <row r="10" spans="1:17" x14ac:dyDescent="0.2">
      <c r="A10">
        <v>270</v>
      </c>
      <c r="B10" s="1">
        <f t="shared" si="2"/>
        <v>0.31111111111111106</v>
      </c>
      <c r="C10" s="1">
        <f t="shared" si="7"/>
        <v>0.22222222222222221</v>
      </c>
      <c r="D10" s="1">
        <f t="shared" si="6"/>
        <v>0.44444444444444442</v>
      </c>
      <c r="E10" s="1">
        <f>2/9</f>
        <v>0.22222222222222221</v>
      </c>
      <c r="F10" s="1">
        <f t="shared" si="8"/>
        <v>0.33333333333333331</v>
      </c>
      <c r="G10" s="1">
        <f t="shared" si="4"/>
        <v>0.33333333333333331</v>
      </c>
      <c r="H10" s="1">
        <f t="shared" ref="H10:J21" si="10">5/9</f>
        <v>0.55555555555555558</v>
      </c>
      <c r="I10" s="1">
        <f>1/9</f>
        <v>0.1111111111111111</v>
      </c>
      <c r="J10" s="1">
        <f t="shared" si="5"/>
        <v>0.22222222222222221</v>
      </c>
      <c r="K10" s="1">
        <f t="shared" si="9"/>
        <v>0.66666666666666663</v>
      </c>
      <c r="L10" s="1">
        <f t="shared" ref="L10:L21" si="11">4/9</f>
        <v>0.44444444444444442</v>
      </c>
      <c r="N10" s="2" t="s">
        <v>100</v>
      </c>
      <c r="O10" s="1">
        <v>0</v>
      </c>
      <c r="P10" s="1">
        <v>6</v>
      </c>
      <c r="Q10" s="1">
        <v>6</v>
      </c>
    </row>
    <row r="11" spans="1:17" x14ac:dyDescent="0.2">
      <c r="A11">
        <v>300</v>
      </c>
      <c r="B11" s="1">
        <f t="shared" si="2"/>
        <v>0.33333333333333331</v>
      </c>
      <c r="C11" s="1">
        <f t="shared" si="7"/>
        <v>0.22222222222222221</v>
      </c>
      <c r="D11" s="1">
        <f t="shared" si="6"/>
        <v>0.44444444444444442</v>
      </c>
      <c r="E11" s="1">
        <f>3/9</f>
        <v>0.33333333333333331</v>
      </c>
      <c r="F11" s="1">
        <f t="shared" si="8"/>
        <v>0.33333333333333331</v>
      </c>
      <c r="G11" s="1">
        <f t="shared" si="4"/>
        <v>0.33333333333333331</v>
      </c>
      <c r="H11" s="1">
        <f t="shared" si="10"/>
        <v>0.55555555555555558</v>
      </c>
      <c r="I11" s="1">
        <f>1/9</f>
        <v>0.1111111111111111</v>
      </c>
      <c r="J11" s="1">
        <f t="shared" si="5"/>
        <v>0.22222222222222221</v>
      </c>
      <c r="K11" s="1">
        <f t="shared" si="9"/>
        <v>0.66666666666666663</v>
      </c>
      <c r="L11" s="1">
        <f t="shared" si="11"/>
        <v>0.44444444444444442</v>
      </c>
      <c r="N11" s="2" t="s">
        <v>101</v>
      </c>
      <c r="O11" s="1">
        <v>0</v>
      </c>
      <c r="P11" s="1">
        <v>6</v>
      </c>
      <c r="Q11" s="1">
        <v>6</v>
      </c>
    </row>
    <row r="12" spans="1:17" x14ac:dyDescent="0.2">
      <c r="A12">
        <v>330</v>
      </c>
      <c r="B12" s="1">
        <f t="shared" si="2"/>
        <v>0.35555555555555551</v>
      </c>
      <c r="C12" s="1">
        <f t="shared" si="7"/>
        <v>0.22222222222222221</v>
      </c>
      <c r="D12" s="1">
        <f t="shared" si="6"/>
        <v>0.44444444444444442</v>
      </c>
      <c r="E12" s="1">
        <f t="shared" si="6"/>
        <v>0.44444444444444442</v>
      </c>
      <c r="F12" s="1">
        <f t="shared" si="8"/>
        <v>0.33333333333333331</v>
      </c>
      <c r="G12" s="1">
        <f t="shared" si="4"/>
        <v>0.33333333333333331</v>
      </c>
      <c r="H12" s="1">
        <f t="shared" si="10"/>
        <v>0.55555555555555558</v>
      </c>
      <c r="I12" s="1">
        <f t="shared" ref="I12:I19" si="12">2/9</f>
        <v>0.22222222222222221</v>
      </c>
      <c r="J12" s="1">
        <f t="shared" si="5"/>
        <v>0.22222222222222221</v>
      </c>
      <c r="K12" s="1">
        <f t="shared" si="9"/>
        <v>0.66666666666666663</v>
      </c>
      <c r="L12" s="1">
        <f t="shared" si="11"/>
        <v>0.44444444444444442</v>
      </c>
      <c r="N12" s="2" t="s">
        <v>102</v>
      </c>
      <c r="O12" s="1">
        <v>0</v>
      </c>
      <c r="P12" s="1">
        <v>4</v>
      </c>
      <c r="Q12" s="1">
        <v>4</v>
      </c>
    </row>
    <row r="13" spans="1:17" x14ac:dyDescent="0.2">
      <c r="A13">
        <v>360</v>
      </c>
      <c r="B13" s="1">
        <f t="shared" si="2"/>
        <v>0.35555555555555551</v>
      </c>
      <c r="C13" s="1">
        <f t="shared" si="7"/>
        <v>0.22222222222222221</v>
      </c>
      <c r="D13" s="1">
        <f t="shared" si="6"/>
        <v>0.44444444444444442</v>
      </c>
      <c r="E13" s="1">
        <f t="shared" si="6"/>
        <v>0.44444444444444442</v>
      </c>
      <c r="F13" s="1">
        <f t="shared" si="8"/>
        <v>0.33333333333333331</v>
      </c>
      <c r="G13" s="1">
        <f t="shared" si="4"/>
        <v>0.33333333333333331</v>
      </c>
      <c r="H13" s="1">
        <f t="shared" si="10"/>
        <v>0.55555555555555558</v>
      </c>
      <c r="I13" s="1">
        <f t="shared" si="12"/>
        <v>0.22222222222222221</v>
      </c>
      <c r="J13" s="1">
        <f>3/9</f>
        <v>0.33333333333333331</v>
      </c>
      <c r="K13" s="1">
        <f t="shared" si="9"/>
        <v>0.66666666666666663</v>
      </c>
      <c r="L13" s="1">
        <f t="shared" si="11"/>
        <v>0.44444444444444442</v>
      </c>
      <c r="N13" s="2" t="s">
        <v>13</v>
      </c>
      <c r="O13" s="7">
        <f>AVERAGE(O3:O12)</f>
        <v>0</v>
      </c>
      <c r="P13" s="7">
        <f>AVERAGE(P3:P12)</f>
        <v>4.2</v>
      </c>
      <c r="Q13" s="7">
        <f>AVERAGE(Q3:Q12)</f>
        <v>4.2</v>
      </c>
    </row>
    <row r="14" spans="1:17" x14ac:dyDescent="0.2">
      <c r="A14">
        <v>390</v>
      </c>
      <c r="B14" s="1">
        <f t="shared" si="2"/>
        <v>0.35555555555555551</v>
      </c>
      <c r="C14" s="1">
        <f t="shared" si="7"/>
        <v>0.22222222222222221</v>
      </c>
      <c r="D14" s="1">
        <f t="shared" si="6"/>
        <v>0.44444444444444442</v>
      </c>
      <c r="E14" s="1">
        <f t="shared" si="6"/>
        <v>0.44444444444444442</v>
      </c>
      <c r="F14" s="1">
        <f t="shared" si="8"/>
        <v>0.33333333333333331</v>
      </c>
      <c r="G14" s="1">
        <f t="shared" si="4"/>
        <v>0.33333333333333331</v>
      </c>
      <c r="H14" s="1">
        <f t="shared" si="10"/>
        <v>0.55555555555555558</v>
      </c>
      <c r="I14" s="1">
        <f t="shared" si="12"/>
        <v>0.22222222222222221</v>
      </c>
      <c r="J14" s="1">
        <f>3/9</f>
        <v>0.33333333333333331</v>
      </c>
      <c r="K14" s="1">
        <f t="shared" si="9"/>
        <v>0.66666666666666663</v>
      </c>
      <c r="L14" s="1">
        <f t="shared" si="11"/>
        <v>0.44444444444444442</v>
      </c>
      <c r="O14" s="6" t="s">
        <v>14</v>
      </c>
      <c r="P14" s="6" t="s">
        <v>104</v>
      </c>
      <c r="Q14" s="6" t="s">
        <v>105</v>
      </c>
    </row>
    <row r="15" spans="1:17" x14ac:dyDescent="0.2">
      <c r="A15">
        <v>420</v>
      </c>
      <c r="B15" s="1">
        <f t="shared" si="2"/>
        <v>0.37777777777777777</v>
      </c>
      <c r="C15" s="1">
        <f t="shared" si="7"/>
        <v>0.22222222222222221</v>
      </c>
      <c r="D15" s="1">
        <f t="shared" si="6"/>
        <v>0.44444444444444442</v>
      </c>
      <c r="E15" s="1">
        <f t="shared" si="6"/>
        <v>0.44444444444444442</v>
      </c>
      <c r="F15" s="1">
        <f t="shared" si="6"/>
        <v>0.44444444444444442</v>
      </c>
      <c r="G15" s="1">
        <f t="shared" si="4"/>
        <v>0.33333333333333331</v>
      </c>
      <c r="H15" s="1">
        <f t="shared" si="10"/>
        <v>0.55555555555555558</v>
      </c>
      <c r="I15" s="1">
        <f t="shared" si="12"/>
        <v>0.22222222222222221</v>
      </c>
      <c r="J15" s="1">
        <f>4/9</f>
        <v>0.44444444444444442</v>
      </c>
      <c r="K15" s="1">
        <f t="shared" si="9"/>
        <v>0.66666666666666663</v>
      </c>
      <c r="L15" s="1">
        <f t="shared" si="11"/>
        <v>0.44444444444444442</v>
      </c>
    </row>
    <row r="16" spans="1:17" x14ac:dyDescent="0.2">
      <c r="A16">
        <v>450</v>
      </c>
      <c r="B16" s="1">
        <f t="shared" si="2"/>
        <v>0.37777777777777777</v>
      </c>
      <c r="C16" s="1">
        <f t="shared" si="7"/>
        <v>0.22222222222222221</v>
      </c>
      <c r="D16" s="1">
        <f t="shared" si="6"/>
        <v>0.44444444444444442</v>
      </c>
      <c r="E16" s="1">
        <f t="shared" si="6"/>
        <v>0.44444444444444442</v>
      </c>
      <c r="F16" s="1">
        <f t="shared" si="6"/>
        <v>0.44444444444444442</v>
      </c>
      <c r="G16" s="1">
        <f t="shared" si="4"/>
        <v>0.33333333333333331</v>
      </c>
      <c r="H16" s="1">
        <f t="shared" si="10"/>
        <v>0.55555555555555558</v>
      </c>
      <c r="I16" s="1">
        <f t="shared" si="12"/>
        <v>0.22222222222222221</v>
      </c>
      <c r="J16" s="1">
        <f t="shared" si="10"/>
        <v>0.55555555555555558</v>
      </c>
      <c r="K16" s="1">
        <f t="shared" si="9"/>
        <v>0.66666666666666663</v>
      </c>
      <c r="L16" s="1">
        <f t="shared" si="11"/>
        <v>0.44444444444444442</v>
      </c>
    </row>
    <row r="17" spans="1:12" x14ac:dyDescent="0.2">
      <c r="A17">
        <v>480</v>
      </c>
      <c r="B17" s="1">
        <f t="shared" si="2"/>
        <v>0.37777777777777777</v>
      </c>
      <c r="C17" s="1">
        <f t="shared" si="7"/>
        <v>0.22222222222222221</v>
      </c>
      <c r="D17" s="1">
        <f t="shared" si="6"/>
        <v>0.44444444444444442</v>
      </c>
      <c r="E17" s="1">
        <f t="shared" si="6"/>
        <v>0.44444444444444442</v>
      </c>
      <c r="F17" s="1">
        <f t="shared" si="6"/>
        <v>0.44444444444444442</v>
      </c>
      <c r="G17" s="1">
        <f t="shared" si="4"/>
        <v>0.33333333333333331</v>
      </c>
      <c r="H17" s="1">
        <f t="shared" si="10"/>
        <v>0.55555555555555558</v>
      </c>
      <c r="I17" s="1">
        <f t="shared" si="12"/>
        <v>0.22222222222222221</v>
      </c>
      <c r="J17" s="1">
        <f t="shared" si="9"/>
        <v>0.66666666666666663</v>
      </c>
      <c r="K17" s="1">
        <f t="shared" si="9"/>
        <v>0.66666666666666663</v>
      </c>
      <c r="L17" s="1">
        <f t="shared" si="11"/>
        <v>0.44444444444444442</v>
      </c>
    </row>
    <row r="18" spans="1:12" x14ac:dyDescent="0.2">
      <c r="A18">
        <v>510</v>
      </c>
      <c r="B18" s="1">
        <f t="shared" si="2"/>
        <v>0.37777777777777777</v>
      </c>
      <c r="C18" s="1">
        <f t="shared" si="7"/>
        <v>0.22222222222222221</v>
      </c>
      <c r="D18" s="1">
        <f t="shared" si="6"/>
        <v>0.44444444444444442</v>
      </c>
      <c r="E18" s="1">
        <f t="shared" si="6"/>
        <v>0.44444444444444442</v>
      </c>
      <c r="F18" s="1">
        <f t="shared" si="6"/>
        <v>0.44444444444444442</v>
      </c>
      <c r="G18" s="1">
        <f t="shared" si="4"/>
        <v>0.33333333333333331</v>
      </c>
      <c r="H18" s="1">
        <f t="shared" si="10"/>
        <v>0.55555555555555558</v>
      </c>
      <c r="I18" s="1">
        <f t="shared" si="12"/>
        <v>0.22222222222222221</v>
      </c>
      <c r="J18" s="1">
        <f t="shared" si="9"/>
        <v>0.66666666666666663</v>
      </c>
      <c r="K18" s="1">
        <f t="shared" si="9"/>
        <v>0.66666666666666663</v>
      </c>
      <c r="L18" s="1">
        <f t="shared" si="11"/>
        <v>0.44444444444444442</v>
      </c>
    </row>
    <row r="19" spans="1:12" x14ac:dyDescent="0.2">
      <c r="A19">
        <v>540</v>
      </c>
      <c r="B19" s="1">
        <f t="shared" si="2"/>
        <v>0.37777777777777777</v>
      </c>
      <c r="C19" s="1">
        <f t="shared" si="7"/>
        <v>0.22222222222222221</v>
      </c>
      <c r="D19" s="1">
        <f t="shared" si="6"/>
        <v>0.44444444444444442</v>
      </c>
      <c r="E19" s="1">
        <f t="shared" si="6"/>
        <v>0.44444444444444442</v>
      </c>
      <c r="F19" s="1">
        <f t="shared" si="6"/>
        <v>0.44444444444444442</v>
      </c>
      <c r="G19" s="1">
        <f t="shared" si="4"/>
        <v>0.33333333333333331</v>
      </c>
      <c r="H19" s="1">
        <f t="shared" si="10"/>
        <v>0.55555555555555558</v>
      </c>
      <c r="I19" s="1">
        <f t="shared" si="12"/>
        <v>0.22222222222222221</v>
      </c>
      <c r="J19" s="1">
        <f t="shared" si="9"/>
        <v>0.66666666666666663</v>
      </c>
      <c r="K19" s="1">
        <f t="shared" si="9"/>
        <v>0.66666666666666663</v>
      </c>
      <c r="L19" s="1">
        <f t="shared" si="11"/>
        <v>0.44444444444444442</v>
      </c>
    </row>
    <row r="20" spans="1:12" x14ac:dyDescent="0.2">
      <c r="A20">
        <v>570</v>
      </c>
      <c r="B20" s="1">
        <f t="shared" si="2"/>
        <v>0.37777777777777777</v>
      </c>
      <c r="C20" s="1">
        <f t="shared" si="7"/>
        <v>0.22222222222222221</v>
      </c>
      <c r="D20" s="1">
        <f t="shared" si="6"/>
        <v>0.44444444444444442</v>
      </c>
      <c r="E20" s="1">
        <f t="shared" si="6"/>
        <v>0.44444444444444442</v>
      </c>
      <c r="F20" s="1">
        <f t="shared" si="6"/>
        <v>0.44444444444444442</v>
      </c>
      <c r="G20" s="1">
        <f t="shared" si="4"/>
        <v>0.33333333333333331</v>
      </c>
      <c r="H20" s="1">
        <f t="shared" si="10"/>
        <v>0.55555555555555558</v>
      </c>
      <c r="I20" s="1">
        <f>3/9</f>
        <v>0.33333333333333331</v>
      </c>
      <c r="J20" s="1">
        <f t="shared" si="9"/>
        <v>0.66666666666666663</v>
      </c>
      <c r="K20" s="1">
        <f t="shared" si="9"/>
        <v>0.66666666666666663</v>
      </c>
      <c r="L20" s="1">
        <f t="shared" si="11"/>
        <v>0.44444444444444442</v>
      </c>
    </row>
    <row r="21" spans="1:12" x14ac:dyDescent="0.2">
      <c r="A21">
        <v>600</v>
      </c>
      <c r="B21" s="1">
        <f t="shared" si="2"/>
        <v>0.4</v>
      </c>
      <c r="C21" s="1">
        <f t="shared" si="7"/>
        <v>0.22222222222222221</v>
      </c>
      <c r="D21" s="1">
        <f t="shared" si="6"/>
        <v>0.44444444444444442</v>
      </c>
      <c r="E21" s="1">
        <f t="shared" si="6"/>
        <v>0.44444444444444442</v>
      </c>
      <c r="F21" s="1">
        <f>5/9</f>
        <v>0.55555555555555558</v>
      </c>
      <c r="G21" s="1">
        <f t="shared" si="4"/>
        <v>0.33333333333333331</v>
      </c>
      <c r="H21" s="1">
        <f t="shared" si="10"/>
        <v>0.55555555555555558</v>
      </c>
      <c r="I21" s="1">
        <f>3/9</f>
        <v>0.33333333333333331</v>
      </c>
      <c r="J21" s="1">
        <f t="shared" si="9"/>
        <v>0.66666666666666663</v>
      </c>
      <c r="K21" s="1">
        <f t="shared" si="9"/>
        <v>0.66666666666666663</v>
      </c>
      <c r="L21" s="1">
        <f t="shared" si="11"/>
        <v>0.44444444444444442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J7" sqref="J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46</v>
      </c>
      <c r="K2" s="2" t="s">
        <v>47</v>
      </c>
      <c r="L2" s="2" t="s">
        <v>45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46</v>
      </c>
      <c r="K3" s="2" t="s">
        <v>48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 t="shared" ref="G4:G9" si="2">0/8</f>
        <v>0</v>
      </c>
      <c r="I4" s="2" t="s">
        <v>4</v>
      </c>
      <c r="J4" s="2" t="s">
        <v>46</v>
      </c>
      <c r="K4" s="2" t="s">
        <v>47</v>
      </c>
      <c r="L4" s="2" t="s">
        <v>45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3">2/8</f>
        <v>0.25</v>
      </c>
      <c r="F5" s="1">
        <f>2/8</f>
        <v>0.25</v>
      </c>
      <c r="G5" s="1">
        <f t="shared" si="2"/>
        <v>0</v>
      </c>
      <c r="I5" s="2" t="s">
        <v>5</v>
      </c>
      <c r="J5" s="2" t="s">
        <v>46</v>
      </c>
      <c r="K5" s="2" t="s">
        <v>48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3"/>
        <v>0.25</v>
      </c>
      <c r="F6" s="1">
        <f>2/8</f>
        <v>0.25</v>
      </c>
      <c r="G6" s="1">
        <f t="shared" si="2"/>
        <v>0</v>
      </c>
      <c r="I6" s="2" t="s">
        <v>6</v>
      </c>
      <c r="J6" s="2" t="s">
        <v>46</v>
      </c>
      <c r="K6" s="2" t="s">
        <v>48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4">2/8</f>
        <v>0.25</v>
      </c>
      <c r="D7" s="1">
        <f t="shared" si="1"/>
        <v>0.125</v>
      </c>
      <c r="E7" s="1">
        <f t="shared" si="3"/>
        <v>0.25</v>
      </c>
      <c r="F7" s="1">
        <f>3/8</f>
        <v>0.375</v>
      </c>
      <c r="G7" s="1">
        <f t="shared" si="2"/>
        <v>0</v>
      </c>
      <c r="I7" s="2" t="s">
        <v>13</v>
      </c>
      <c r="J7" s="2" t="s">
        <v>46</v>
      </c>
      <c r="K7" s="2" t="s">
        <v>49</v>
      </c>
      <c r="L7" s="2" t="s">
        <v>50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4"/>
        <v>0.25</v>
      </c>
      <c r="D8" s="1">
        <f t="shared" si="1"/>
        <v>0.125</v>
      </c>
      <c r="E8" s="1">
        <f t="shared" si="3"/>
        <v>0.25</v>
      </c>
      <c r="F8" s="1">
        <f t="shared" ref="F8:G21" si="5">3/8</f>
        <v>0.375</v>
      </c>
      <c r="G8" s="1">
        <f t="shared" si="2"/>
        <v>0</v>
      </c>
    </row>
    <row r="9" spans="1:13" x14ac:dyDescent="0.2">
      <c r="A9">
        <v>240</v>
      </c>
      <c r="B9" s="1">
        <f t="shared" si="0"/>
        <v>0.2</v>
      </c>
      <c r="C9" s="1">
        <f t="shared" si="4"/>
        <v>0.25</v>
      </c>
      <c r="D9" s="1">
        <f t="shared" si="1"/>
        <v>0.125</v>
      </c>
      <c r="E9" s="1">
        <f t="shared" si="3"/>
        <v>0.25</v>
      </c>
      <c r="F9" s="1">
        <f t="shared" si="5"/>
        <v>0.375</v>
      </c>
      <c r="G9" s="1">
        <f t="shared" si="2"/>
        <v>0</v>
      </c>
    </row>
    <row r="10" spans="1:13" x14ac:dyDescent="0.2">
      <c r="A10">
        <v>270</v>
      </c>
      <c r="B10" s="1">
        <f t="shared" si="0"/>
        <v>0.25</v>
      </c>
      <c r="C10" s="1">
        <f t="shared" si="4"/>
        <v>0.25</v>
      </c>
      <c r="D10" s="1">
        <f>2/8</f>
        <v>0.25</v>
      </c>
      <c r="E10" s="1">
        <f t="shared" si="3"/>
        <v>0.25</v>
      </c>
      <c r="F10" s="1">
        <f t="shared" si="5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4"/>
        <v>0.25</v>
      </c>
      <c r="D11" s="1">
        <f>3/8</f>
        <v>0.375</v>
      </c>
      <c r="E11" s="1">
        <f t="shared" si="3"/>
        <v>0.25</v>
      </c>
      <c r="F11" s="1">
        <f t="shared" si="5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4"/>
        <v>0.25</v>
      </c>
      <c r="D12" s="1">
        <f t="shared" ref="D12:D21" si="6">3/8</f>
        <v>0.375</v>
      </c>
      <c r="E12" s="1">
        <f t="shared" si="3"/>
        <v>0.25</v>
      </c>
      <c r="F12" s="1">
        <f t="shared" si="5"/>
        <v>0.375</v>
      </c>
      <c r="G12" s="1">
        <f t="shared" si="5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4"/>
        <v>0.25</v>
      </c>
      <c r="D13" s="1">
        <f t="shared" si="6"/>
        <v>0.375</v>
      </c>
      <c r="E13" s="1">
        <f t="shared" si="3"/>
        <v>0.25</v>
      </c>
      <c r="F13" s="1">
        <f t="shared" si="5"/>
        <v>0.375</v>
      </c>
      <c r="G13" s="1">
        <f t="shared" si="5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4"/>
        <v>0.25</v>
      </c>
      <c r="D14" s="1">
        <f t="shared" si="6"/>
        <v>0.375</v>
      </c>
      <c r="E14" s="1">
        <f t="shared" si="3"/>
        <v>0.25</v>
      </c>
      <c r="F14" s="1">
        <f t="shared" si="5"/>
        <v>0.375</v>
      </c>
      <c r="G14" s="1">
        <f t="shared" si="5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4"/>
        <v>0.25</v>
      </c>
      <c r="D15" s="1">
        <f t="shared" si="6"/>
        <v>0.375</v>
      </c>
      <c r="E15" s="1">
        <f t="shared" si="3"/>
        <v>0.25</v>
      </c>
      <c r="F15" s="1">
        <f t="shared" si="5"/>
        <v>0.375</v>
      </c>
      <c r="G15" s="1">
        <f t="shared" si="5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4"/>
        <v>0.25</v>
      </c>
      <c r="D16" s="1">
        <f t="shared" si="6"/>
        <v>0.375</v>
      </c>
      <c r="E16" s="1">
        <f t="shared" si="3"/>
        <v>0.25</v>
      </c>
      <c r="F16" s="1">
        <f t="shared" si="5"/>
        <v>0.375</v>
      </c>
      <c r="G16" s="1">
        <f t="shared" si="5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4"/>
        <v>0.25</v>
      </c>
      <c r="D17" s="1">
        <f t="shared" si="6"/>
        <v>0.375</v>
      </c>
      <c r="E17" s="1">
        <f t="shared" si="3"/>
        <v>0.25</v>
      </c>
      <c r="F17" s="1">
        <f t="shared" si="5"/>
        <v>0.375</v>
      </c>
      <c r="G17" s="1">
        <f t="shared" si="5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4"/>
        <v>0.25</v>
      </c>
      <c r="D18" s="1">
        <f t="shared" si="6"/>
        <v>0.375</v>
      </c>
      <c r="E18" s="1">
        <f t="shared" si="3"/>
        <v>0.25</v>
      </c>
      <c r="F18" s="1">
        <f t="shared" si="5"/>
        <v>0.375</v>
      </c>
      <c r="G18" s="1">
        <f t="shared" si="5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4"/>
        <v>0.25</v>
      </c>
      <c r="D19" s="1">
        <f t="shared" si="6"/>
        <v>0.375</v>
      </c>
      <c r="E19" s="1">
        <f t="shared" si="3"/>
        <v>0.25</v>
      </c>
      <c r="F19" s="1">
        <f t="shared" si="5"/>
        <v>0.375</v>
      </c>
      <c r="G19" s="1">
        <f t="shared" si="5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4"/>
        <v>0.25</v>
      </c>
      <c r="D20" s="1">
        <f t="shared" si="6"/>
        <v>0.375</v>
      </c>
      <c r="E20" s="1">
        <f t="shared" si="3"/>
        <v>0.25</v>
      </c>
      <c r="F20" s="1">
        <f t="shared" si="5"/>
        <v>0.375</v>
      </c>
      <c r="G20" s="1">
        <f t="shared" si="5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4"/>
        <v>0.25</v>
      </c>
      <c r="D21" s="1">
        <f t="shared" si="6"/>
        <v>0.375</v>
      </c>
      <c r="E21" s="1">
        <f t="shared" si="3"/>
        <v>0.25</v>
      </c>
      <c r="F21" s="1">
        <f t="shared" si="5"/>
        <v>0.375</v>
      </c>
      <c r="G21" s="1">
        <f t="shared" si="5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 t="shared" ref="C2:E3" si="0">1/17</f>
        <v>5.8823529411764705E-2</v>
      </c>
      <c r="D2" s="1">
        <f t="shared" si="0"/>
        <v>5.8823529411764705E-2</v>
      </c>
      <c r="E2" s="1">
        <f t="shared" si="0"/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51</v>
      </c>
      <c r="K2" s="2" t="s">
        <v>52</v>
      </c>
      <c r="L2" s="2" t="s">
        <v>53</v>
      </c>
    </row>
    <row r="3" spans="1:12" x14ac:dyDescent="0.2">
      <c r="A3">
        <v>60</v>
      </c>
      <c r="B3" s="1">
        <f t="shared" ref="B3:B21" si="1">AVERAGE(C3:G3)</f>
        <v>5.8823529411764698E-2</v>
      </c>
      <c r="C3" s="1">
        <f t="shared" si="0"/>
        <v>5.8823529411764705E-2</v>
      </c>
      <c r="D3" s="1">
        <f t="shared" si="0"/>
        <v>5.8823529411764705E-2</v>
      </c>
      <c r="E3" s="1">
        <f t="shared" si="0"/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51</v>
      </c>
      <c r="K3" s="2" t="s">
        <v>54</v>
      </c>
      <c r="L3" s="2" t="s">
        <v>55</v>
      </c>
    </row>
    <row r="4" spans="1:12" x14ac:dyDescent="0.2">
      <c r="A4">
        <v>90</v>
      </c>
      <c r="B4" s="1">
        <f t="shared" si="1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51</v>
      </c>
      <c r="K4" s="2" t="s">
        <v>56</v>
      </c>
      <c r="L4" s="2" t="s">
        <v>57</v>
      </c>
    </row>
    <row r="5" spans="1:12" x14ac:dyDescent="0.2">
      <c r="A5">
        <v>120</v>
      </c>
      <c r="B5" s="1">
        <f t="shared" si="1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51</v>
      </c>
      <c r="K5" s="2" t="s">
        <v>58</v>
      </c>
      <c r="L5" s="2" t="s">
        <v>59</v>
      </c>
    </row>
    <row r="6" spans="1:12" x14ac:dyDescent="0.2">
      <c r="A6">
        <v>150</v>
      </c>
      <c r="B6" s="1">
        <f t="shared" si="1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51</v>
      </c>
      <c r="K6" s="2" t="s">
        <v>58</v>
      </c>
      <c r="L6" s="2" t="s">
        <v>59</v>
      </c>
    </row>
    <row r="7" spans="1:12" x14ac:dyDescent="0.2">
      <c r="A7">
        <v>180</v>
      </c>
      <c r="B7" s="1">
        <f t="shared" si="1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51</v>
      </c>
      <c r="K7" s="2" t="s">
        <v>60</v>
      </c>
      <c r="L7" s="2" t="s">
        <v>61</v>
      </c>
    </row>
    <row r="8" spans="1:12" x14ac:dyDescent="0.2">
      <c r="A8">
        <v>210</v>
      </c>
      <c r="B8" s="1">
        <f t="shared" si="1"/>
        <v>0.14117647058823529</v>
      </c>
      <c r="C8" s="1">
        <f>2/17</f>
        <v>0.11764705882352941</v>
      </c>
      <c r="D8" s="1">
        <f t="shared" ref="D8:E21" si="2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3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1"/>
        <v>0.15294117647058822</v>
      </c>
      <c r="C9" s="1">
        <f>2/17</f>
        <v>0.11764705882352941</v>
      </c>
      <c r="D9" s="1">
        <f t="shared" si="2"/>
        <v>0.17647058823529413</v>
      </c>
      <c r="E9" s="1">
        <f t="shared" si="2"/>
        <v>0.17647058823529413</v>
      </c>
      <c r="F9" s="1">
        <f>1/17</f>
        <v>5.8823529411764705E-2</v>
      </c>
      <c r="G9" s="1">
        <f t="shared" si="3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1"/>
        <v>0.1764705882352941</v>
      </c>
      <c r="C10" s="1">
        <f>2/17</f>
        <v>0.11764705882352941</v>
      </c>
      <c r="D10" s="1">
        <f t="shared" si="2"/>
        <v>0.17647058823529413</v>
      </c>
      <c r="E10" s="1">
        <f>4/17</f>
        <v>0.23529411764705882</v>
      </c>
      <c r="F10" s="1">
        <f t="shared" ref="F10:F16" si="4">2/17</f>
        <v>0.11764705882352941</v>
      </c>
      <c r="G10" s="1">
        <f t="shared" si="3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1"/>
        <v>0.2</v>
      </c>
      <c r="C11" s="1">
        <f t="shared" ref="C11:C16" si="5">4/17</f>
        <v>0.23529411764705882</v>
      </c>
      <c r="D11" s="1">
        <f t="shared" si="2"/>
        <v>0.17647058823529413</v>
      </c>
      <c r="E11" s="1">
        <f>4/17</f>
        <v>0.23529411764705882</v>
      </c>
      <c r="F11" s="1">
        <f t="shared" si="4"/>
        <v>0.11764705882352941</v>
      </c>
      <c r="G11" s="1">
        <f t="shared" si="3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1"/>
        <v>0.21176470588235294</v>
      </c>
      <c r="C12" s="1">
        <f t="shared" si="5"/>
        <v>0.23529411764705882</v>
      </c>
      <c r="D12" s="1">
        <f t="shared" si="2"/>
        <v>0.17647058823529413</v>
      </c>
      <c r="E12" s="1">
        <f>5/17</f>
        <v>0.29411764705882354</v>
      </c>
      <c r="F12" s="1">
        <f t="shared" si="4"/>
        <v>0.11764705882352941</v>
      </c>
      <c r="G12" s="1">
        <f t="shared" si="3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1"/>
        <v>0.21176470588235294</v>
      </c>
      <c r="C13" s="1">
        <f t="shared" si="5"/>
        <v>0.23529411764705882</v>
      </c>
      <c r="D13" s="1">
        <f t="shared" si="2"/>
        <v>0.17647058823529413</v>
      </c>
      <c r="E13" s="1">
        <f>5/17</f>
        <v>0.29411764705882354</v>
      </c>
      <c r="F13" s="1">
        <f t="shared" si="4"/>
        <v>0.11764705882352941</v>
      </c>
      <c r="G13" s="1">
        <f t="shared" si="3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1"/>
        <v>0.21176470588235294</v>
      </c>
      <c r="C14" s="1">
        <f t="shared" si="5"/>
        <v>0.23529411764705882</v>
      </c>
      <c r="D14" s="1">
        <f t="shared" si="2"/>
        <v>0.17647058823529413</v>
      </c>
      <c r="E14" s="1">
        <f>5/17</f>
        <v>0.29411764705882354</v>
      </c>
      <c r="F14" s="1">
        <f t="shared" si="4"/>
        <v>0.11764705882352941</v>
      </c>
      <c r="G14" s="1">
        <f t="shared" si="3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1"/>
        <v>0.23529411764705882</v>
      </c>
      <c r="C15" s="1">
        <f t="shared" si="5"/>
        <v>0.23529411764705882</v>
      </c>
      <c r="D15" s="1">
        <f t="shared" si="2"/>
        <v>0.17647058823529413</v>
      </c>
      <c r="E15" s="1">
        <f>7/17</f>
        <v>0.41176470588235292</v>
      </c>
      <c r="F15" s="1">
        <f t="shared" si="4"/>
        <v>0.11764705882352941</v>
      </c>
      <c r="G15" s="1">
        <f t="shared" si="3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1"/>
        <v>0.23529411764705882</v>
      </c>
      <c r="C16" s="1">
        <f t="shared" si="5"/>
        <v>0.23529411764705882</v>
      </c>
      <c r="D16" s="1">
        <f t="shared" si="2"/>
        <v>0.17647058823529413</v>
      </c>
      <c r="E16" s="1">
        <f>7/17</f>
        <v>0.41176470588235292</v>
      </c>
      <c r="F16" s="1">
        <f t="shared" si="4"/>
        <v>0.11764705882352941</v>
      </c>
      <c r="G16" s="1">
        <f t="shared" si="3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1"/>
        <v>0.25882352941176473</v>
      </c>
      <c r="C17" s="1">
        <f>5/17</f>
        <v>0.29411764705882354</v>
      </c>
      <c r="D17" s="1">
        <f t="shared" si="2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3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1"/>
        <v>0.28235294117647058</v>
      </c>
      <c r="C18" s="1">
        <f>5/17</f>
        <v>0.29411764705882354</v>
      </c>
      <c r="D18" s="1">
        <f t="shared" si="2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3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1"/>
        <v>0.29411764705882354</v>
      </c>
      <c r="C19" s="1">
        <f>6/17</f>
        <v>0.35294117647058826</v>
      </c>
      <c r="D19" s="1">
        <f t="shared" si="2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3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1"/>
        <v>0.29411764705882354</v>
      </c>
      <c r="C20" s="1">
        <f>6/17</f>
        <v>0.35294117647058826</v>
      </c>
      <c r="D20" s="1">
        <f t="shared" si="2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3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1"/>
        <v>0.29411764705882354</v>
      </c>
      <c r="C21" s="1">
        <f>6/17</f>
        <v>0.35294117647058826</v>
      </c>
      <c r="D21" s="1">
        <f t="shared" si="2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3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K26" sqref="K26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 t="shared" ref="G2:G9" si="0">1/131</f>
        <v>7.6335877862595417E-3</v>
      </c>
      <c r="H2" s="3"/>
      <c r="I2" s="5" t="s">
        <v>2</v>
      </c>
      <c r="J2" s="5" t="s">
        <v>62</v>
      </c>
      <c r="K2" s="5" t="s">
        <v>63</v>
      </c>
      <c r="L2" s="5" t="s">
        <v>64</v>
      </c>
    </row>
    <row r="3" spans="1:12" x14ac:dyDescent="0.2">
      <c r="A3" s="3">
        <v>60</v>
      </c>
      <c r="B3" s="4">
        <f t="shared" ref="B3:B21" si="1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 t="shared" ref="F3:F8" si="2">1/131</f>
        <v>7.6335877862595417E-3</v>
      </c>
      <c r="G3" s="4">
        <f t="shared" si="0"/>
        <v>7.6335877862595417E-3</v>
      </c>
      <c r="H3" s="3"/>
      <c r="I3" s="5" t="s">
        <v>3</v>
      </c>
      <c r="J3" s="5" t="s">
        <v>62</v>
      </c>
      <c r="K3" s="5" t="s">
        <v>65</v>
      </c>
      <c r="L3" s="5" t="s">
        <v>66</v>
      </c>
    </row>
    <row r="4" spans="1:12" x14ac:dyDescent="0.2">
      <c r="A4" s="3">
        <v>90</v>
      </c>
      <c r="B4" s="4">
        <f t="shared" si="1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 t="shared" si="2"/>
        <v>7.6335877862595417E-3</v>
      </c>
      <c r="G4" s="4">
        <f t="shared" si="0"/>
        <v>7.6335877862595417E-3</v>
      </c>
      <c r="H4" s="3"/>
      <c r="I4" s="5" t="s">
        <v>4</v>
      </c>
      <c r="J4" s="5" t="s">
        <v>62</v>
      </c>
      <c r="K4" s="5" t="s">
        <v>63</v>
      </c>
      <c r="L4" s="5" t="s">
        <v>64</v>
      </c>
    </row>
    <row r="5" spans="1:12" x14ac:dyDescent="0.2">
      <c r="A5" s="3">
        <v>120</v>
      </c>
      <c r="B5" s="4">
        <f t="shared" si="1"/>
        <v>1.8320610687022901E-2</v>
      </c>
      <c r="C5" s="4">
        <f>3/131</f>
        <v>2.2900763358778626E-2</v>
      </c>
      <c r="D5" s="4">
        <f>4/131</f>
        <v>3.0534351145038167E-2</v>
      </c>
      <c r="E5" s="4">
        <f t="shared" ref="E5:E10" si="3">3/131</f>
        <v>2.2900763358778626E-2</v>
      </c>
      <c r="F5" s="4">
        <f t="shared" si="2"/>
        <v>7.6335877862595417E-3</v>
      </c>
      <c r="G5" s="4">
        <f t="shared" si="0"/>
        <v>7.6335877862595417E-3</v>
      </c>
      <c r="H5" s="3"/>
      <c r="I5" s="5" t="s">
        <v>5</v>
      </c>
      <c r="J5" s="5" t="s">
        <v>62</v>
      </c>
      <c r="K5" s="5" t="s">
        <v>67</v>
      </c>
      <c r="L5" s="5" t="s">
        <v>68</v>
      </c>
    </row>
    <row r="6" spans="1:12" x14ac:dyDescent="0.2">
      <c r="A6" s="3">
        <v>150</v>
      </c>
      <c r="B6" s="4">
        <f t="shared" si="1"/>
        <v>2.2900763358778626E-2</v>
      </c>
      <c r="C6" s="4">
        <f t="shared" ref="C6:C15" si="4">4/131</f>
        <v>3.0534351145038167E-2</v>
      </c>
      <c r="D6" s="4">
        <f>6/131</f>
        <v>4.5801526717557252E-2</v>
      </c>
      <c r="E6" s="4">
        <f t="shared" si="3"/>
        <v>2.2900763358778626E-2</v>
      </c>
      <c r="F6" s="4">
        <f t="shared" si="2"/>
        <v>7.6335877862595417E-3</v>
      </c>
      <c r="G6" s="4">
        <f t="shared" si="0"/>
        <v>7.6335877862595417E-3</v>
      </c>
      <c r="H6" s="3"/>
      <c r="I6" s="5" t="s">
        <v>6</v>
      </c>
      <c r="J6" s="5" t="s">
        <v>62</v>
      </c>
      <c r="K6" s="5" t="s">
        <v>69</v>
      </c>
      <c r="L6" s="5" t="s">
        <v>70</v>
      </c>
    </row>
    <row r="7" spans="1:12" x14ac:dyDescent="0.2">
      <c r="A7" s="3">
        <v>180</v>
      </c>
      <c r="B7" s="4">
        <f t="shared" si="1"/>
        <v>2.2900763358778626E-2</v>
      </c>
      <c r="C7" s="4">
        <f t="shared" si="4"/>
        <v>3.0534351145038167E-2</v>
      </c>
      <c r="D7" s="4">
        <f>6/131</f>
        <v>4.5801526717557252E-2</v>
      </c>
      <c r="E7" s="4">
        <f t="shared" si="3"/>
        <v>2.2900763358778626E-2</v>
      </c>
      <c r="F7" s="4">
        <f t="shared" si="2"/>
        <v>7.6335877862595417E-3</v>
      </c>
      <c r="G7" s="4">
        <f t="shared" si="0"/>
        <v>7.6335877862595417E-3</v>
      </c>
      <c r="H7" s="3"/>
      <c r="I7" s="5" t="s">
        <v>13</v>
      </c>
      <c r="J7" s="5" t="s">
        <v>62</v>
      </c>
      <c r="K7" s="5" t="s">
        <v>71</v>
      </c>
      <c r="L7" s="5" t="s">
        <v>72</v>
      </c>
    </row>
    <row r="8" spans="1:12" x14ac:dyDescent="0.2">
      <c r="A8" s="3">
        <v>210</v>
      </c>
      <c r="B8" s="4">
        <f t="shared" si="1"/>
        <v>2.2900763358778626E-2</v>
      </c>
      <c r="C8" s="4">
        <f t="shared" si="4"/>
        <v>3.0534351145038167E-2</v>
      </c>
      <c r="D8" s="4">
        <f>6/131</f>
        <v>4.5801526717557252E-2</v>
      </c>
      <c r="E8" s="4">
        <f t="shared" si="3"/>
        <v>2.2900763358778626E-2</v>
      </c>
      <c r="F8" s="4">
        <f t="shared" si="2"/>
        <v>7.6335877862595417E-3</v>
      </c>
      <c r="G8" s="4">
        <f t="shared" si="0"/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1"/>
        <v>3.2061068702290078E-2</v>
      </c>
      <c r="C9" s="4">
        <f t="shared" si="4"/>
        <v>3.0534351145038167E-2</v>
      </c>
      <c r="D9" s="4">
        <f>9/131</f>
        <v>6.8702290076335881E-2</v>
      </c>
      <c r="E9" s="4">
        <f t="shared" si="3"/>
        <v>2.2900763358778626E-2</v>
      </c>
      <c r="F9" s="4">
        <f>4/131</f>
        <v>3.0534351145038167E-2</v>
      </c>
      <c r="G9" s="4">
        <f t="shared" si="0"/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1"/>
        <v>4.1221374045801527E-2</v>
      </c>
      <c r="C10" s="4">
        <f t="shared" si="4"/>
        <v>3.0534351145038167E-2</v>
      </c>
      <c r="D10" s="4">
        <f>13/131</f>
        <v>9.9236641221374045E-2</v>
      </c>
      <c r="E10" s="4">
        <f t="shared" si="3"/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1"/>
        <v>4.5801526717557252E-2</v>
      </c>
      <c r="C11" s="4">
        <f t="shared" si="4"/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1"/>
        <v>4.8854961832061075E-2</v>
      </c>
      <c r="C12" s="4">
        <f t="shared" si="4"/>
        <v>3.0534351145038167E-2</v>
      </c>
      <c r="D12" s="4">
        <f>16/131</f>
        <v>0.12213740458015267</v>
      </c>
      <c r="E12" s="4">
        <f>4/131</f>
        <v>3.0534351145038167E-2</v>
      </c>
      <c r="F12" s="4">
        <f t="shared" ref="F12:F19" si="5">5/131</f>
        <v>3.8167938931297711E-2</v>
      </c>
      <c r="G12" s="4">
        <f t="shared" ref="G12:G21" si="6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1"/>
        <v>4.8854961832061075E-2</v>
      </c>
      <c r="C13" s="4">
        <f t="shared" si="4"/>
        <v>3.0534351145038167E-2</v>
      </c>
      <c r="D13" s="4">
        <f>16/131</f>
        <v>0.12213740458015267</v>
      </c>
      <c r="E13" s="4">
        <f>4/131</f>
        <v>3.0534351145038167E-2</v>
      </c>
      <c r="F13" s="4">
        <f t="shared" si="5"/>
        <v>3.8167938931297711E-2</v>
      </c>
      <c r="G13" s="4">
        <f t="shared" si="6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1"/>
        <v>4.8854961832061075E-2</v>
      </c>
      <c r="C14" s="4">
        <f t="shared" si="4"/>
        <v>3.0534351145038167E-2</v>
      </c>
      <c r="D14" s="4">
        <f>16/131</f>
        <v>0.12213740458015267</v>
      </c>
      <c r="E14" s="4">
        <f>4/131</f>
        <v>3.0534351145038167E-2</v>
      </c>
      <c r="F14" s="4">
        <f t="shared" si="5"/>
        <v>3.8167938931297711E-2</v>
      </c>
      <c r="G14" s="4">
        <f t="shared" si="6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1"/>
        <v>4.8854961832061075E-2</v>
      </c>
      <c r="C15" s="4">
        <f t="shared" si="4"/>
        <v>3.0534351145038167E-2</v>
      </c>
      <c r="D15" s="4">
        <f>16/131</f>
        <v>0.12213740458015267</v>
      </c>
      <c r="E15" s="4">
        <f>4/131</f>
        <v>3.0534351145038167E-2</v>
      </c>
      <c r="F15" s="4">
        <f t="shared" si="5"/>
        <v>3.8167938931297711E-2</v>
      </c>
      <c r="G15" s="4">
        <f t="shared" si="6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1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 t="shared" si="5"/>
        <v>3.8167938931297711E-2</v>
      </c>
      <c r="G16" s="4">
        <f t="shared" si="6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1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 t="shared" si="5"/>
        <v>3.8167938931297711E-2</v>
      </c>
      <c r="G17" s="4">
        <f t="shared" si="6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1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 t="shared" si="5"/>
        <v>3.8167938931297711E-2</v>
      </c>
      <c r="G18" s="4">
        <f t="shared" si="6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1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 t="shared" si="5"/>
        <v>3.8167938931297711E-2</v>
      </c>
      <c r="G19" s="4">
        <f t="shared" si="6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1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6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1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6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zoomScale="139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3.3333333333333333E-2</v>
      </c>
      <c r="C2" s="1">
        <f>0/24</f>
        <v>0</v>
      </c>
      <c r="D2" s="1">
        <f t="shared" ref="D2:G3" si="0">1/24</f>
        <v>4.1666666666666664E-2</v>
      </c>
      <c r="E2" s="1">
        <f t="shared" si="0"/>
        <v>4.1666666666666664E-2</v>
      </c>
      <c r="F2" s="1">
        <f t="shared" si="0"/>
        <v>4.1666666666666664E-2</v>
      </c>
      <c r="G2" s="1">
        <f t="shared" si="0"/>
        <v>4.1666666666666664E-2</v>
      </c>
      <c r="I2" s="2" t="s">
        <v>2</v>
      </c>
      <c r="J2" s="2" t="s">
        <v>73</v>
      </c>
      <c r="K2" s="2" t="s">
        <v>76</v>
      </c>
      <c r="L2" s="2" t="s">
        <v>77</v>
      </c>
    </row>
    <row r="3" spans="1:12" x14ac:dyDescent="0.2">
      <c r="A3">
        <v>60</v>
      </c>
      <c r="B3" s="1">
        <f t="shared" ref="B3:B21" si="1">AVERAGE(C3:G3)</f>
        <v>3.3333333333333333E-2</v>
      </c>
      <c r="C3" s="1">
        <f>0/24</f>
        <v>0</v>
      </c>
      <c r="D3" s="1">
        <f t="shared" si="0"/>
        <v>4.1666666666666664E-2</v>
      </c>
      <c r="E3" s="1">
        <f t="shared" si="0"/>
        <v>4.1666666666666664E-2</v>
      </c>
      <c r="F3" s="1">
        <f t="shared" si="0"/>
        <v>4.1666666666666664E-2</v>
      </c>
      <c r="G3" s="1">
        <f t="shared" si="0"/>
        <v>4.1666666666666664E-2</v>
      </c>
      <c r="I3" s="2" t="s">
        <v>3</v>
      </c>
      <c r="J3" s="2" t="s">
        <v>73</v>
      </c>
      <c r="K3" s="2" t="s">
        <v>78</v>
      </c>
      <c r="L3" s="2" t="s">
        <v>79</v>
      </c>
    </row>
    <row r="4" spans="1:12" x14ac:dyDescent="0.2">
      <c r="A4">
        <v>90</v>
      </c>
      <c r="B4" s="1">
        <f t="shared" si="1"/>
        <v>4.1666666666666664E-2</v>
      </c>
      <c r="C4" s="1">
        <f>0/24</f>
        <v>0</v>
      </c>
      <c r="D4" s="1">
        <f>1/24</f>
        <v>4.1666666666666664E-2</v>
      </c>
      <c r="E4" s="1">
        <f t="shared" ref="E4:E10" si="2">2/24</f>
        <v>8.3333333333333329E-2</v>
      </c>
      <c r="F4" s="1">
        <f>1/24</f>
        <v>4.1666666666666664E-2</v>
      </c>
      <c r="G4" s="1">
        <f>1/24</f>
        <v>4.1666666666666664E-2</v>
      </c>
      <c r="I4" s="2" t="s">
        <v>4</v>
      </c>
      <c r="J4" s="2" t="s">
        <v>73</v>
      </c>
      <c r="K4" s="2" t="s">
        <v>80</v>
      </c>
      <c r="L4" s="2" t="s">
        <v>81</v>
      </c>
    </row>
    <row r="5" spans="1:12" x14ac:dyDescent="0.2">
      <c r="A5">
        <v>120</v>
      </c>
      <c r="B5" s="1">
        <f t="shared" si="1"/>
        <v>4.9999999999999996E-2</v>
      </c>
      <c r="C5" s="1">
        <f>0/24</f>
        <v>0</v>
      </c>
      <c r="D5" s="1">
        <f>2/24</f>
        <v>8.3333333333333329E-2</v>
      </c>
      <c r="E5" s="1">
        <f t="shared" si="2"/>
        <v>8.3333333333333329E-2</v>
      </c>
      <c r="F5" s="1">
        <f>1/24</f>
        <v>4.1666666666666664E-2</v>
      </c>
      <c r="G5" s="1">
        <f>1/24</f>
        <v>4.1666666666666664E-2</v>
      </c>
      <c r="I5" s="2" t="s">
        <v>5</v>
      </c>
      <c r="J5" s="2" t="s">
        <v>73</v>
      </c>
      <c r="K5" s="2" t="s">
        <v>78</v>
      </c>
      <c r="L5" s="2" t="s">
        <v>79</v>
      </c>
    </row>
    <row r="6" spans="1:12" x14ac:dyDescent="0.2">
      <c r="A6">
        <v>150</v>
      </c>
      <c r="B6" s="1">
        <f t="shared" si="1"/>
        <v>9.1666666666666646E-2</v>
      </c>
      <c r="C6" s="1">
        <f t="shared" ref="C6:C12" si="3">2/24</f>
        <v>8.3333333333333329E-2</v>
      </c>
      <c r="D6" s="1">
        <f>3/24</f>
        <v>0.125</v>
      </c>
      <c r="E6" s="1">
        <f t="shared" si="2"/>
        <v>8.3333333333333329E-2</v>
      </c>
      <c r="F6" s="1">
        <f>2/24</f>
        <v>8.3333333333333329E-2</v>
      </c>
      <c r="G6" s="1">
        <f>2/24</f>
        <v>8.3333333333333329E-2</v>
      </c>
      <c r="I6" s="2" t="s">
        <v>6</v>
      </c>
      <c r="J6" s="2" t="s">
        <v>73</v>
      </c>
      <c r="K6" s="2" t="s">
        <v>80</v>
      </c>
      <c r="L6" s="2" t="s">
        <v>81</v>
      </c>
    </row>
    <row r="7" spans="1:12" x14ac:dyDescent="0.2">
      <c r="A7">
        <v>180</v>
      </c>
      <c r="B7" s="1">
        <f t="shared" si="1"/>
        <v>9.1666666666666646E-2</v>
      </c>
      <c r="C7" s="1">
        <f t="shared" si="3"/>
        <v>8.3333333333333329E-2</v>
      </c>
      <c r="D7" s="1">
        <f>3/24</f>
        <v>0.125</v>
      </c>
      <c r="E7" s="1">
        <f t="shared" si="2"/>
        <v>8.3333333333333329E-2</v>
      </c>
      <c r="F7" s="1">
        <f>2/24</f>
        <v>8.3333333333333329E-2</v>
      </c>
      <c r="G7" s="1">
        <f>2/24</f>
        <v>8.3333333333333329E-2</v>
      </c>
      <c r="I7" s="2" t="s">
        <v>13</v>
      </c>
      <c r="J7" s="2" t="s">
        <v>73</v>
      </c>
      <c r="K7" s="2" t="s">
        <v>82</v>
      </c>
      <c r="L7" s="2" t="s">
        <v>83</v>
      </c>
    </row>
    <row r="8" spans="1:12" x14ac:dyDescent="0.2">
      <c r="A8">
        <v>210</v>
      </c>
      <c r="B8" s="1">
        <f t="shared" si="1"/>
        <v>9.9999999999999992E-2</v>
      </c>
      <c r="C8" s="1">
        <f t="shared" si="3"/>
        <v>8.3333333333333329E-2</v>
      </c>
      <c r="D8" s="1">
        <f>3/24</f>
        <v>0.125</v>
      </c>
      <c r="E8" s="1">
        <f t="shared" si="2"/>
        <v>8.3333333333333329E-2</v>
      </c>
      <c r="F8" s="1">
        <f>2/24</f>
        <v>8.3333333333333329E-2</v>
      </c>
      <c r="G8" s="1">
        <f t="shared" ref="G8:G13" si="4">3/24</f>
        <v>0.125</v>
      </c>
    </row>
    <row r="9" spans="1:12" x14ac:dyDescent="0.2">
      <c r="A9">
        <v>240</v>
      </c>
      <c r="B9" s="1">
        <f t="shared" si="1"/>
        <v>9.9999999999999992E-2</v>
      </c>
      <c r="C9" s="1">
        <f t="shared" si="3"/>
        <v>8.3333333333333329E-2</v>
      </c>
      <c r="D9" s="1">
        <f>3/24</f>
        <v>0.125</v>
      </c>
      <c r="E9" s="1">
        <f t="shared" si="2"/>
        <v>8.3333333333333329E-2</v>
      </c>
      <c r="F9" s="1">
        <f>2/24</f>
        <v>8.3333333333333329E-2</v>
      </c>
      <c r="G9" s="1">
        <f t="shared" si="4"/>
        <v>0.125</v>
      </c>
    </row>
    <row r="10" spans="1:12" x14ac:dyDescent="0.2">
      <c r="A10">
        <v>270</v>
      </c>
      <c r="B10" s="1">
        <f t="shared" si="1"/>
        <v>9.9999999999999992E-2</v>
      </c>
      <c r="C10" s="1">
        <f t="shared" si="3"/>
        <v>8.3333333333333329E-2</v>
      </c>
      <c r="D10" s="1">
        <f>3/24</f>
        <v>0.125</v>
      </c>
      <c r="E10" s="1">
        <f t="shared" si="2"/>
        <v>8.3333333333333329E-2</v>
      </c>
      <c r="F10" s="1">
        <f>2/24</f>
        <v>8.3333333333333329E-2</v>
      </c>
      <c r="G10" s="1">
        <f t="shared" si="4"/>
        <v>0.125</v>
      </c>
    </row>
    <row r="11" spans="1:12" x14ac:dyDescent="0.2">
      <c r="A11">
        <v>300</v>
      </c>
      <c r="B11" s="1">
        <f t="shared" si="1"/>
        <v>0.11666666666666665</v>
      </c>
      <c r="C11" s="1">
        <f t="shared" si="3"/>
        <v>8.3333333333333329E-2</v>
      </c>
      <c r="D11" s="1">
        <f>4/24</f>
        <v>0.16666666666666666</v>
      </c>
      <c r="E11" s="1">
        <f>3/24</f>
        <v>0.125</v>
      </c>
      <c r="F11" s="1">
        <f>2/24</f>
        <v>8.3333333333333329E-2</v>
      </c>
      <c r="G11" s="1">
        <f t="shared" si="4"/>
        <v>0.125</v>
      </c>
    </row>
    <row r="12" spans="1:12" x14ac:dyDescent="0.2">
      <c r="A12">
        <v>330</v>
      </c>
      <c r="B12" s="1">
        <f t="shared" si="1"/>
        <v>0.11666666666666665</v>
      </c>
      <c r="C12" s="1">
        <f t="shared" si="3"/>
        <v>8.3333333333333329E-2</v>
      </c>
      <c r="D12" s="1">
        <f>4/24</f>
        <v>0.16666666666666666</v>
      </c>
      <c r="E12" s="1">
        <f t="shared" ref="E12:E20" si="5">3/24</f>
        <v>0.125</v>
      </c>
      <c r="F12" s="1">
        <f>2/24</f>
        <v>8.3333333333333329E-2</v>
      </c>
      <c r="G12" s="1">
        <f t="shared" si="4"/>
        <v>0.125</v>
      </c>
    </row>
    <row r="13" spans="1:12" x14ac:dyDescent="0.2">
      <c r="A13">
        <v>360</v>
      </c>
      <c r="B13" s="1">
        <f t="shared" si="1"/>
        <v>0.15</v>
      </c>
      <c r="C13" s="1">
        <f>4/24</f>
        <v>0.16666666666666666</v>
      </c>
      <c r="D13" s="1">
        <f>4/24</f>
        <v>0.16666666666666666</v>
      </c>
      <c r="E13" s="1">
        <f t="shared" si="5"/>
        <v>0.125</v>
      </c>
      <c r="F13" s="1">
        <f>4/24</f>
        <v>0.16666666666666666</v>
      </c>
      <c r="G13" s="1">
        <f t="shared" si="4"/>
        <v>0.125</v>
      </c>
    </row>
    <row r="14" spans="1:12" x14ac:dyDescent="0.2">
      <c r="A14">
        <v>390</v>
      </c>
      <c r="B14" s="1">
        <f t="shared" si="1"/>
        <v>0.17499999999999999</v>
      </c>
      <c r="C14" s="1">
        <f>4/24</f>
        <v>0.16666666666666666</v>
      </c>
      <c r="D14" s="1">
        <f>5/24</f>
        <v>0.20833333333333334</v>
      </c>
      <c r="E14" s="1">
        <f t="shared" si="5"/>
        <v>0.125</v>
      </c>
      <c r="F14" s="1">
        <f>5/24</f>
        <v>0.20833333333333334</v>
      </c>
      <c r="G14" s="1">
        <f>4/24</f>
        <v>0.16666666666666666</v>
      </c>
    </row>
    <row r="15" spans="1:12" x14ac:dyDescent="0.2">
      <c r="A15">
        <v>420</v>
      </c>
      <c r="B15" s="1">
        <f t="shared" si="1"/>
        <v>0.18333333333333335</v>
      </c>
      <c r="C15" s="1">
        <f>4/24</f>
        <v>0.16666666666666666</v>
      </c>
      <c r="D15" s="1">
        <f>5/24</f>
        <v>0.20833333333333334</v>
      </c>
      <c r="E15" s="1">
        <f t="shared" si="5"/>
        <v>0.125</v>
      </c>
      <c r="F15" s="1">
        <f>5/24</f>
        <v>0.20833333333333334</v>
      </c>
      <c r="G15" s="1">
        <f>5/24</f>
        <v>0.20833333333333334</v>
      </c>
    </row>
    <row r="16" spans="1:12" x14ac:dyDescent="0.2">
      <c r="A16">
        <v>450</v>
      </c>
      <c r="B16" s="1">
        <f t="shared" si="1"/>
        <v>0.2</v>
      </c>
      <c r="C16" s="1">
        <f>4/24</f>
        <v>0.16666666666666666</v>
      </c>
      <c r="D16" s="1">
        <f>5/24</f>
        <v>0.20833333333333334</v>
      </c>
      <c r="E16" s="1">
        <f t="shared" si="5"/>
        <v>0.125</v>
      </c>
      <c r="F16" s="1">
        <f>6/24</f>
        <v>0.25</v>
      </c>
      <c r="G16" s="1">
        <f>6/24</f>
        <v>0.25</v>
      </c>
    </row>
    <row r="17" spans="1:7" x14ac:dyDescent="0.2">
      <c r="A17">
        <v>480</v>
      </c>
      <c r="B17" s="1">
        <f t="shared" si="1"/>
        <v>0.2166666666666667</v>
      </c>
      <c r="C17" s="1">
        <f>5/24</f>
        <v>0.20833333333333334</v>
      </c>
      <c r="D17" s="1">
        <f>5/24</f>
        <v>0.20833333333333334</v>
      </c>
      <c r="E17" s="1">
        <f t="shared" si="5"/>
        <v>0.125</v>
      </c>
      <c r="F17" s="1">
        <f>7/24</f>
        <v>0.29166666666666669</v>
      </c>
      <c r="G17" s="1">
        <f t="shared" ref="G17:G21" si="6">6/24</f>
        <v>0.25</v>
      </c>
    </row>
    <row r="18" spans="1:7" x14ac:dyDescent="0.2">
      <c r="A18">
        <v>510</v>
      </c>
      <c r="B18" s="1">
        <f t="shared" si="1"/>
        <v>0.24166666666666664</v>
      </c>
      <c r="C18" s="1">
        <f>5/24</f>
        <v>0.20833333333333334</v>
      </c>
      <c r="D18" s="1">
        <f>7/24</f>
        <v>0.29166666666666669</v>
      </c>
      <c r="E18" s="1">
        <f t="shared" si="5"/>
        <v>0.125</v>
      </c>
      <c r="F18" s="1">
        <f>8/24</f>
        <v>0.33333333333333331</v>
      </c>
      <c r="G18" s="1">
        <f t="shared" si="6"/>
        <v>0.25</v>
      </c>
    </row>
    <row r="19" spans="1:7" x14ac:dyDescent="0.2">
      <c r="A19">
        <v>540</v>
      </c>
      <c r="B19" s="1">
        <f t="shared" si="1"/>
        <v>0.24166666666666664</v>
      </c>
      <c r="C19" s="1">
        <f>5/24</f>
        <v>0.20833333333333334</v>
      </c>
      <c r="D19" s="1">
        <f>7/24</f>
        <v>0.29166666666666669</v>
      </c>
      <c r="E19" s="1">
        <f t="shared" si="5"/>
        <v>0.125</v>
      </c>
      <c r="F19" s="1">
        <f>8/24</f>
        <v>0.33333333333333331</v>
      </c>
      <c r="G19" s="1">
        <f t="shared" si="6"/>
        <v>0.25</v>
      </c>
    </row>
    <row r="20" spans="1:7" x14ac:dyDescent="0.2">
      <c r="A20">
        <v>570</v>
      </c>
      <c r="B20" s="1">
        <f t="shared" si="1"/>
        <v>0.25</v>
      </c>
      <c r="C20" s="1">
        <f>5/24</f>
        <v>0.20833333333333334</v>
      </c>
      <c r="D20" s="1">
        <f>8/24</f>
        <v>0.33333333333333331</v>
      </c>
      <c r="E20" s="1">
        <f t="shared" si="5"/>
        <v>0.125</v>
      </c>
      <c r="F20" s="1">
        <f>8/24</f>
        <v>0.33333333333333331</v>
      </c>
      <c r="G20" s="1">
        <f t="shared" si="6"/>
        <v>0.25</v>
      </c>
    </row>
    <row r="21" spans="1:7" x14ac:dyDescent="0.2">
      <c r="A21">
        <v>600</v>
      </c>
      <c r="B21" s="1">
        <f t="shared" si="1"/>
        <v>0.27500000000000002</v>
      </c>
      <c r="C21" s="1">
        <f>5/24</f>
        <v>0.20833333333333334</v>
      </c>
      <c r="D21" s="1">
        <f>8/24</f>
        <v>0.33333333333333331</v>
      </c>
      <c r="E21" s="1">
        <f>6/24</f>
        <v>0.25</v>
      </c>
      <c r="F21" s="1">
        <f>8/24</f>
        <v>0.33333333333333331</v>
      </c>
      <c r="G21" s="1">
        <f t="shared" si="6"/>
        <v>0.25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0/38</f>
        <v>0</v>
      </c>
      <c r="D2" s="1">
        <f>0/38</f>
        <v>0</v>
      </c>
      <c r="E2" s="1">
        <f>0/38</f>
        <v>0</v>
      </c>
      <c r="F2" s="1">
        <f>0/38</f>
        <v>0</v>
      </c>
      <c r="G2" s="1">
        <f>0/38</f>
        <v>0</v>
      </c>
      <c r="I2" s="2" t="s">
        <v>2</v>
      </c>
      <c r="J2" s="2" t="s">
        <v>74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0</v>
      </c>
      <c r="C3" s="1">
        <f>0/38</f>
        <v>0</v>
      </c>
      <c r="D3" s="1">
        <f>0/38</f>
        <v>0</v>
      </c>
      <c r="E3" s="1">
        <f t="shared" ref="E3:G21" si="1">0/38</f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74</v>
      </c>
      <c r="K3" s="2" t="s">
        <v>86</v>
      </c>
      <c r="L3" s="2" t="s">
        <v>87</v>
      </c>
    </row>
    <row r="4" spans="1:12" x14ac:dyDescent="0.2">
      <c r="A4">
        <v>90</v>
      </c>
      <c r="B4" s="1">
        <f t="shared" si="0"/>
        <v>0</v>
      </c>
      <c r="C4" s="1">
        <f>0/38</f>
        <v>0</v>
      </c>
      <c r="D4" s="1">
        <f>0/38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74</v>
      </c>
      <c r="K4" s="2" t="s">
        <v>88</v>
      </c>
      <c r="L4" s="2" t="s">
        <v>89</v>
      </c>
    </row>
    <row r="5" spans="1:12" x14ac:dyDescent="0.2">
      <c r="A5">
        <v>120</v>
      </c>
      <c r="B5" s="1">
        <f t="shared" si="0"/>
        <v>5.263157894736842E-3</v>
      </c>
      <c r="C5" s="1">
        <f t="shared" ref="C5:C21" si="2">1/38</f>
        <v>2.6315789473684209E-2</v>
      </c>
      <c r="D5" s="1">
        <f>0/38</f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74</v>
      </c>
      <c r="K5" s="2" t="s">
        <v>88</v>
      </c>
      <c r="L5" s="2" t="s">
        <v>89</v>
      </c>
    </row>
    <row r="6" spans="1:12" x14ac:dyDescent="0.2">
      <c r="A6">
        <v>150</v>
      </c>
      <c r="B6" s="1">
        <f t="shared" si="0"/>
        <v>1.0526315789473684E-2</v>
      </c>
      <c r="C6" s="1">
        <f t="shared" si="2"/>
        <v>2.6315789473684209E-2</v>
      </c>
      <c r="D6" s="1">
        <f t="shared" ref="D6:D15" si="3">1/38</f>
        <v>2.6315789473684209E-2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74</v>
      </c>
      <c r="K6" s="2" t="s">
        <v>88</v>
      </c>
      <c r="L6" s="2" t="s">
        <v>89</v>
      </c>
    </row>
    <row r="7" spans="1:12" x14ac:dyDescent="0.2">
      <c r="A7">
        <v>180</v>
      </c>
      <c r="B7" s="1">
        <f t="shared" si="0"/>
        <v>1.0526315789473684E-2</v>
      </c>
      <c r="C7" s="1">
        <f t="shared" si="2"/>
        <v>2.6315789473684209E-2</v>
      </c>
      <c r="D7" s="1">
        <f t="shared" si="3"/>
        <v>2.6315789473684209E-2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74</v>
      </c>
      <c r="K7" s="2" t="s">
        <v>90</v>
      </c>
      <c r="L7" s="2" t="s">
        <v>91</v>
      </c>
    </row>
    <row r="8" spans="1:12" x14ac:dyDescent="0.2">
      <c r="A8">
        <v>210</v>
      </c>
      <c r="B8" s="1">
        <f t="shared" si="0"/>
        <v>1.0526315789473684E-2</v>
      </c>
      <c r="C8" s="1">
        <f t="shared" si="2"/>
        <v>2.6315789473684209E-2</v>
      </c>
      <c r="D8" s="1">
        <f t="shared" si="3"/>
        <v>2.6315789473684209E-2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2" x14ac:dyDescent="0.2">
      <c r="A9">
        <v>240</v>
      </c>
      <c r="B9" s="1">
        <f t="shared" si="0"/>
        <v>1.0526315789473684E-2</v>
      </c>
      <c r="C9" s="1">
        <f t="shared" si="2"/>
        <v>2.6315789473684209E-2</v>
      </c>
      <c r="D9" s="1">
        <f t="shared" si="3"/>
        <v>2.6315789473684209E-2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2" x14ac:dyDescent="0.2">
      <c r="A10">
        <v>270</v>
      </c>
      <c r="B10" s="1">
        <f t="shared" si="0"/>
        <v>1.0526315789473684E-2</v>
      </c>
      <c r="C10" s="1">
        <f t="shared" si="2"/>
        <v>2.6315789473684209E-2</v>
      </c>
      <c r="D10" s="1">
        <f t="shared" si="3"/>
        <v>2.6315789473684209E-2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2" x14ac:dyDescent="0.2">
      <c r="A11">
        <v>300</v>
      </c>
      <c r="B11" s="1">
        <f t="shared" si="0"/>
        <v>1.0526315789473684E-2</v>
      </c>
      <c r="C11" s="1">
        <f t="shared" si="2"/>
        <v>2.6315789473684209E-2</v>
      </c>
      <c r="D11" s="1">
        <f t="shared" si="3"/>
        <v>2.6315789473684209E-2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2" x14ac:dyDescent="0.2">
      <c r="A12">
        <v>330</v>
      </c>
      <c r="B12" s="1">
        <f t="shared" si="0"/>
        <v>1.0526315789473684E-2</v>
      </c>
      <c r="C12" s="1">
        <f t="shared" si="2"/>
        <v>2.6315789473684209E-2</v>
      </c>
      <c r="D12" s="1">
        <f t="shared" si="3"/>
        <v>2.6315789473684209E-2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2" x14ac:dyDescent="0.2">
      <c r="A13">
        <v>360</v>
      </c>
      <c r="B13" s="1">
        <f t="shared" si="0"/>
        <v>1.0526315789473684E-2</v>
      </c>
      <c r="C13" s="1">
        <f t="shared" si="2"/>
        <v>2.6315789473684209E-2</v>
      </c>
      <c r="D13" s="1">
        <f t="shared" si="3"/>
        <v>2.6315789473684209E-2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2" x14ac:dyDescent="0.2">
      <c r="A14">
        <v>390</v>
      </c>
      <c r="B14" s="1">
        <f t="shared" si="0"/>
        <v>1.0526315789473684E-2</v>
      </c>
      <c r="C14" s="1">
        <f t="shared" si="2"/>
        <v>2.6315789473684209E-2</v>
      </c>
      <c r="D14" s="1">
        <f t="shared" si="3"/>
        <v>2.6315789473684209E-2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2" x14ac:dyDescent="0.2">
      <c r="A15">
        <v>420</v>
      </c>
      <c r="B15" s="1">
        <f t="shared" si="0"/>
        <v>1.0526315789473684E-2</v>
      </c>
      <c r="C15" s="1">
        <f t="shared" si="2"/>
        <v>2.6315789473684209E-2</v>
      </c>
      <c r="D15" s="1">
        <f t="shared" si="3"/>
        <v>2.6315789473684209E-2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2" x14ac:dyDescent="0.2">
      <c r="A16">
        <v>450</v>
      </c>
      <c r="B16" s="1">
        <f t="shared" si="0"/>
        <v>1.5789473684210527E-2</v>
      </c>
      <c r="C16" s="1">
        <f t="shared" si="2"/>
        <v>2.6315789473684209E-2</v>
      </c>
      <c r="D16" s="1">
        <f t="shared" ref="D16:D21" si="4">2/38</f>
        <v>5.2631578947368418E-2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1.5789473684210527E-2</v>
      </c>
      <c r="C17" s="1">
        <f t="shared" si="2"/>
        <v>2.6315789473684209E-2</v>
      </c>
      <c r="D17" s="1">
        <f t="shared" si="4"/>
        <v>5.2631578947368418E-2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1.5789473684210527E-2</v>
      </c>
      <c r="C18" s="1">
        <f t="shared" si="2"/>
        <v>2.6315789473684209E-2</v>
      </c>
      <c r="D18" s="1">
        <f t="shared" si="4"/>
        <v>5.2631578947368418E-2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1.5789473684210527E-2</v>
      </c>
      <c r="C19" s="1">
        <f t="shared" si="2"/>
        <v>2.6315789473684209E-2</v>
      </c>
      <c r="D19" s="1">
        <f t="shared" si="4"/>
        <v>5.2631578947368418E-2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1.5789473684210527E-2</v>
      </c>
      <c r="C20" s="1">
        <f t="shared" si="2"/>
        <v>2.6315789473684209E-2</v>
      </c>
      <c r="D20" s="1">
        <f t="shared" si="4"/>
        <v>5.2631578947368418E-2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1.5789473684210527E-2</v>
      </c>
      <c r="C21" s="1">
        <f t="shared" si="2"/>
        <v>2.6315789473684209E-2</v>
      </c>
      <c r="D21" s="1">
        <f t="shared" si="4"/>
        <v>5.2631578947368418E-2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sqref="A1:L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 t="shared" ref="C2:E4" si="0">0/52</f>
        <v>0</v>
      </c>
      <c r="D2" s="1">
        <f t="shared" si="0"/>
        <v>0</v>
      </c>
      <c r="E2" s="1">
        <f t="shared" si="0"/>
        <v>0</v>
      </c>
      <c r="F2" s="1">
        <f t="shared" ref="F2:F21" si="1">1/52</f>
        <v>1.9230769230769232E-2</v>
      </c>
      <c r="G2" s="1">
        <f t="shared" ref="G2:G8" si="2">0/52</f>
        <v>0</v>
      </c>
      <c r="I2" s="2" t="s">
        <v>2</v>
      </c>
      <c r="J2" s="2" t="s">
        <v>75</v>
      </c>
      <c r="K2" s="2" t="s">
        <v>92</v>
      </c>
      <c r="L2" s="2" t="s">
        <v>94</v>
      </c>
    </row>
    <row r="3" spans="1:12" x14ac:dyDescent="0.2">
      <c r="A3">
        <v>60</v>
      </c>
      <c r="B3" s="1">
        <f t="shared" ref="B3:B21" si="3">AVERAGE(C3:G3)</f>
        <v>3.8461538461538464E-3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si="1"/>
        <v>1.9230769230769232E-2</v>
      </c>
      <c r="G3" s="1">
        <f t="shared" si="2"/>
        <v>0</v>
      </c>
      <c r="I3" s="2" t="s">
        <v>3</v>
      </c>
      <c r="J3" s="2" t="s">
        <v>75</v>
      </c>
      <c r="K3" s="2" t="s">
        <v>92</v>
      </c>
      <c r="L3" s="2" t="s">
        <v>94</v>
      </c>
    </row>
    <row r="4" spans="1:12" x14ac:dyDescent="0.2">
      <c r="A4">
        <v>90</v>
      </c>
      <c r="B4" s="1">
        <f t="shared" si="3"/>
        <v>3.8461538461538464E-3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1"/>
        <v>1.9230769230769232E-2</v>
      </c>
      <c r="G4" s="1">
        <f t="shared" si="2"/>
        <v>0</v>
      </c>
      <c r="I4" s="2" t="s">
        <v>4</v>
      </c>
      <c r="J4" s="2" t="s">
        <v>75</v>
      </c>
      <c r="K4" s="2" t="s">
        <v>93</v>
      </c>
      <c r="L4" s="2" t="s">
        <v>95</v>
      </c>
    </row>
    <row r="5" spans="1:12" x14ac:dyDescent="0.2">
      <c r="A5">
        <v>120</v>
      </c>
      <c r="B5" s="1">
        <f t="shared" si="3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1"/>
        <v>1.9230769230769232E-2</v>
      </c>
      <c r="G5" s="1">
        <f t="shared" si="2"/>
        <v>0</v>
      </c>
      <c r="I5" s="2" t="s">
        <v>5</v>
      </c>
      <c r="J5" s="2" t="s">
        <v>75</v>
      </c>
      <c r="K5" s="2" t="s">
        <v>92</v>
      </c>
      <c r="L5" s="2" t="s">
        <v>94</v>
      </c>
    </row>
    <row r="6" spans="1:12" x14ac:dyDescent="0.2">
      <c r="A6">
        <v>150</v>
      </c>
      <c r="B6" s="1">
        <f t="shared" si="3"/>
        <v>1.5384615384615385E-2</v>
      </c>
      <c r="C6" s="1">
        <f t="shared" ref="C6:E21" si="4">1/52</f>
        <v>1.9230769230769232E-2</v>
      </c>
      <c r="D6" s="1">
        <f t="shared" si="4"/>
        <v>1.9230769230769232E-2</v>
      </c>
      <c r="E6" s="1">
        <f t="shared" si="4"/>
        <v>1.9230769230769232E-2</v>
      </c>
      <c r="F6" s="1">
        <f t="shared" si="1"/>
        <v>1.9230769230769232E-2</v>
      </c>
      <c r="G6" s="1">
        <f t="shared" si="2"/>
        <v>0</v>
      </c>
      <c r="I6" s="2" t="s">
        <v>6</v>
      </c>
      <c r="J6" s="2" t="s">
        <v>75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3"/>
        <v>1.5384615384615385E-2</v>
      </c>
      <c r="C7" s="1">
        <f t="shared" si="4"/>
        <v>1.9230769230769232E-2</v>
      </c>
      <c r="D7" s="1">
        <f t="shared" si="4"/>
        <v>1.9230769230769232E-2</v>
      </c>
      <c r="E7" s="1">
        <f t="shared" si="4"/>
        <v>1.9230769230769232E-2</v>
      </c>
      <c r="F7" s="1">
        <f t="shared" si="1"/>
        <v>1.9230769230769232E-2</v>
      </c>
      <c r="G7" s="1">
        <f t="shared" si="2"/>
        <v>0</v>
      </c>
      <c r="I7" s="2" t="s">
        <v>13</v>
      </c>
      <c r="J7" s="2" t="s">
        <v>75</v>
      </c>
      <c r="K7" s="2" t="s">
        <v>92</v>
      </c>
      <c r="L7" s="2" t="s">
        <v>94</v>
      </c>
    </row>
    <row r="8" spans="1:12" x14ac:dyDescent="0.2">
      <c r="A8">
        <v>210</v>
      </c>
      <c r="B8" s="1">
        <f t="shared" si="3"/>
        <v>1.5384615384615385E-2</v>
      </c>
      <c r="C8" s="1">
        <f t="shared" si="4"/>
        <v>1.9230769230769232E-2</v>
      </c>
      <c r="D8" s="1">
        <f t="shared" si="4"/>
        <v>1.9230769230769232E-2</v>
      </c>
      <c r="E8" s="1">
        <f t="shared" si="4"/>
        <v>1.9230769230769232E-2</v>
      </c>
      <c r="F8" s="1">
        <f t="shared" si="1"/>
        <v>1.9230769230769232E-2</v>
      </c>
      <c r="G8" s="1">
        <f t="shared" si="2"/>
        <v>0</v>
      </c>
    </row>
    <row r="9" spans="1:12" x14ac:dyDescent="0.2">
      <c r="A9">
        <v>240</v>
      </c>
      <c r="B9" s="1">
        <f t="shared" si="3"/>
        <v>1.5384615384615385E-2</v>
      </c>
      <c r="C9" s="1">
        <f t="shared" si="4"/>
        <v>1.9230769230769232E-2</v>
      </c>
      <c r="D9" s="1">
        <f t="shared" si="4"/>
        <v>1.9230769230769232E-2</v>
      </c>
      <c r="E9" s="1">
        <f t="shared" si="4"/>
        <v>1.9230769230769232E-2</v>
      </c>
      <c r="F9" s="1">
        <f t="shared" si="1"/>
        <v>1.9230769230769232E-2</v>
      </c>
      <c r="G9" s="1">
        <f t="shared" ref="G9:G21" si="5">0/52</f>
        <v>0</v>
      </c>
    </row>
    <row r="10" spans="1:12" x14ac:dyDescent="0.2">
      <c r="A10">
        <v>270</v>
      </c>
      <c r="B10" s="1">
        <f t="shared" si="3"/>
        <v>1.5384615384615385E-2</v>
      </c>
      <c r="C10" s="1">
        <f t="shared" si="4"/>
        <v>1.9230769230769232E-2</v>
      </c>
      <c r="D10" s="1">
        <f t="shared" si="4"/>
        <v>1.9230769230769232E-2</v>
      </c>
      <c r="E10" s="1">
        <f t="shared" si="4"/>
        <v>1.9230769230769232E-2</v>
      </c>
      <c r="F10" s="1">
        <f t="shared" si="1"/>
        <v>1.9230769230769232E-2</v>
      </c>
      <c r="G10" s="1">
        <f t="shared" si="5"/>
        <v>0</v>
      </c>
    </row>
    <row r="11" spans="1:12" x14ac:dyDescent="0.2">
      <c r="A11">
        <v>300</v>
      </c>
      <c r="B11" s="1">
        <f t="shared" si="3"/>
        <v>1.5384615384615385E-2</v>
      </c>
      <c r="C11" s="1">
        <f t="shared" si="4"/>
        <v>1.9230769230769232E-2</v>
      </c>
      <c r="D11" s="1">
        <f t="shared" si="4"/>
        <v>1.9230769230769232E-2</v>
      </c>
      <c r="E11" s="1">
        <f t="shared" si="4"/>
        <v>1.9230769230769232E-2</v>
      </c>
      <c r="F11" s="1">
        <f t="shared" si="1"/>
        <v>1.9230769230769232E-2</v>
      </c>
      <c r="G11" s="1">
        <f t="shared" si="5"/>
        <v>0</v>
      </c>
    </row>
    <row r="12" spans="1:12" x14ac:dyDescent="0.2">
      <c r="A12">
        <v>330</v>
      </c>
      <c r="B12" s="1">
        <f t="shared" si="3"/>
        <v>1.5384615384615385E-2</v>
      </c>
      <c r="C12" s="1">
        <f t="shared" si="4"/>
        <v>1.9230769230769232E-2</v>
      </c>
      <c r="D12" s="1">
        <f t="shared" si="4"/>
        <v>1.9230769230769232E-2</v>
      </c>
      <c r="E12" s="1">
        <f t="shared" si="4"/>
        <v>1.9230769230769232E-2</v>
      </c>
      <c r="F12" s="1">
        <f t="shared" si="1"/>
        <v>1.9230769230769232E-2</v>
      </c>
      <c r="G12" s="1">
        <f t="shared" si="5"/>
        <v>0</v>
      </c>
    </row>
    <row r="13" spans="1:12" x14ac:dyDescent="0.2">
      <c r="A13">
        <v>360</v>
      </c>
      <c r="B13" s="1">
        <f t="shared" si="3"/>
        <v>1.5384615384615385E-2</v>
      </c>
      <c r="C13" s="1">
        <f t="shared" si="4"/>
        <v>1.9230769230769232E-2</v>
      </c>
      <c r="D13" s="1">
        <f t="shared" si="4"/>
        <v>1.9230769230769232E-2</v>
      </c>
      <c r="E13" s="1">
        <f t="shared" si="4"/>
        <v>1.9230769230769232E-2</v>
      </c>
      <c r="F13" s="1">
        <f t="shared" si="1"/>
        <v>1.9230769230769232E-2</v>
      </c>
      <c r="G13" s="1">
        <f t="shared" si="5"/>
        <v>0</v>
      </c>
    </row>
    <row r="14" spans="1:12" x14ac:dyDescent="0.2">
      <c r="A14">
        <v>390</v>
      </c>
      <c r="B14" s="1">
        <f t="shared" si="3"/>
        <v>1.5384615384615385E-2</v>
      </c>
      <c r="C14" s="1">
        <f t="shared" si="4"/>
        <v>1.9230769230769232E-2</v>
      </c>
      <c r="D14" s="1">
        <f t="shared" si="4"/>
        <v>1.9230769230769232E-2</v>
      </c>
      <c r="E14" s="1">
        <f t="shared" si="4"/>
        <v>1.9230769230769232E-2</v>
      </c>
      <c r="F14" s="1">
        <f t="shared" si="1"/>
        <v>1.9230769230769232E-2</v>
      </c>
      <c r="G14" s="1">
        <f t="shared" si="5"/>
        <v>0</v>
      </c>
    </row>
    <row r="15" spans="1:12" x14ac:dyDescent="0.2">
      <c r="A15">
        <v>420</v>
      </c>
      <c r="B15" s="1">
        <f t="shared" si="3"/>
        <v>1.5384615384615385E-2</v>
      </c>
      <c r="C15" s="1">
        <f t="shared" si="4"/>
        <v>1.9230769230769232E-2</v>
      </c>
      <c r="D15" s="1">
        <f t="shared" si="4"/>
        <v>1.9230769230769232E-2</v>
      </c>
      <c r="E15" s="1">
        <f t="shared" si="4"/>
        <v>1.9230769230769232E-2</v>
      </c>
      <c r="F15" s="1">
        <f t="shared" si="1"/>
        <v>1.9230769230769232E-2</v>
      </c>
      <c r="G15" s="1">
        <f t="shared" si="5"/>
        <v>0</v>
      </c>
    </row>
    <row r="16" spans="1:12" x14ac:dyDescent="0.2">
      <c r="A16">
        <v>450</v>
      </c>
      <c r="B16" s="1">
        <f t="shared" si="3"/>
        <v>1.9230769230769232E-2</v>
      </c>
      <c r="C16" s="1">
        <f t="shared" si="4"/>
        <v>1.9230769230769232E-2</v>
      </c>
      <c r="D16" s="1">
        <f t="shared" si="4"/>
        <v>1.9230769230769232E-2</v>
      </c>
      <c r="E16" s="1">
        <f>2/52</f>
        <v>3.8461538461538464E-2</v>
      </c>
      <c r="F16" s="1">
        <f t="shared" si="1"/>
        <v>1.9230769230769232E-2</v>
      </c>
      <c r="G16" s="1">
        <f t="shared" si="5"/>
        <v>0</v>
      </c>
    </row>
    <row r="17" spans="1:7" x14ac:dyDescent="0.2">
      <c r="A17">
        <v>480</v>
      </c>
      <c r="B17" s="1">
        <f t="shared" si="3"/>
        <v>1.9230769230769232E-2</v>
      </c>
      <c r="C17" s="1">
        <f t="shared" si="4"/>
        <v>1.9230769230769232E-2</v>
      </c>
      <c r="D17" s="1">
        <f t="shared" si="4"/>
        <v>1.9230769230769232E-2</v>
      </c>
      <c r="E17" s="1">
        <f t="shared" ref="E17:E21" si="6">2/52</f>
        <v>3.8461538461538464E-2</v>
      </c>
      <c r="F17" s="1">
        <f t="shared" si="1"/>
        <v>1.9230769230769232E-2</v>
      </c>
      <c r="G17" s="1">
        <f t="shared" si="5"/>
        <v>0</v>
      </c>
    </row>
    <row r="18" spans="1:7" x14ac:dyDescent="0.2">
      <c r="A18">
        <v>510</v>
      </c>
      <c r="B18" s="1">
        <f t="shared" si="3"/>
        <v>1.9230769230769232E-2</v>
      </c>
      <c r="C18" s="1">
        <f t="shared" si="4"/>
        <v>1.9230769230769232E-2</v>
      </c>
      <c r="D18" s="1">
        <f t="shared" si="4"/>
        <v>1.9230769230769232E-2</v>
      </c>
      <c r="E18" s="1">
        <f t="shared" si="6"/>
        <v>3.8461538461538464E-2</v>
      </c>
      <c r="F18" s="1">
        <f t="shared" si="1"/>
        <v>1.9230769230769232E-2</v>
      </c>
      <c r="G18" s="1">
        <f t="shared" si="5"/>
        <v>0</v>
      </c>
    </row>
    <row r="19" spans="1:7" x14ac:dyDescent="0.2">
      <c r="A19">
        <v>540</v>
      </c>
      <c r="B19" s="1">
        <f t="shared" si="3"/>
        <v>1.9230769230769232E-2</v>
      </c>
      <c r="C19" s="1">
        <f t="shared" si="4"/>
        <v>1.9230769230769232E-2</v>
      </c>
      <c r="D19" s="1">
        <f t="shared" si="4"/>
        <v>1.9230769230769232E-2</v>
      </c>
      <c r="E19" s="1">
        <f t="shared" si="6"/>
        <v>3.8461538461538464E-2</v>
      </c>
      <c r="F19" s="1">
        <f t="shared" si="1"/>
        <v>1.9230769230769232E-2</v>
      </c>
      <c r="G19" s="1">
        <f t="shared" si="5"/>
        <v>0</v>
      </c>
    </row>
    <row r="20" spans="1:7" x14ac:dyDescent="0.2">
      <c r="A20">
        <v>570</v>
      </c>
      <c r="B20" s="1">
        <f t="shared" si="3"/>
        <v>1.9230769230769232E-2</v>
      </c>
      <c r="C20" s="1">
        <f t="shared" si="4"/>
        <v>1.9230769230769232E-2</v>
      </c>
      <c r="D20" s="1">
        <f t="shared" si="4"/>
        <v>1.9230769230769232E-2</v>
      </c>
      <c r="E20" s="1">
        <f t="shared" si="6"/>
        <v>3.8461538461538464E-2</v>
      </c>
      <c r="F20" s="1">
        <f t="shared" si="1"/>
        <v>1.9230769230769232E-2</v>
      </c>
      <c r="G20" s="1">
        <f t="shared" si="5"/>
        <v>0</v>
      </c>
    </row>
    <row r="21" spans="1:7" x14ac:dyDescent="0.2">
      <c r="A21">
        <v>600</v>
      </c>
      <c r="B21" s="1">
        <f t="shared" si="3"/>
        <v>1.9230769230769232E-2</v>
      </c>
      <c r="C21" s="1">
        <f t="shared" si="4"/>
        <v>1.9230769230769232E-2</v>
      </c>
      <c r="D21" s="1">
        <f t="shared" si="4"/>
        <v>1.9230769230769232E-2</v>
      </c>
      <c r="E21" s="1">
        <f t="shared" si="6"/>
        <v>3.8461538461538464E-2</v>
      </c>
      <c r="F21" s="1">
        <f t="shared" si="1"/>
        <v>1.9230769230769232E-2</v>
      </c>
      <c r="G21" s="1">
        <f t="shared" si="5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EAF4-E68C-F446-9D2F-F0E69D01D413}">
  <dimension ref="A1:N21"/>
  <sheetViews>
    <sheetView zoomScale="150" workbookViewId="0">
      <selection activeCell="G2" sqref="G2:G21"/>
    </sheetView>
  </sheetViews>
  <sheetFormatPr baseColWidth="10" defaultRowHeight="16" x14ac:dyDescent="0.2"/>
  <cols>
    <col min="12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  <c r="N1" s="2" t="s">
        <v>0</v>
      </c>
    </row>
    <row r="2" spans="1:14" x14ac:dyDescent="0.2">
      <c r="A2">
        <v>30</v>
      </c>
      <c r="B2" s="1">
        <f>AVERAGE(C2:G2)</f>
        <v>0.8</v>
      </c>
      <c r="C2" s="1">
        <f>8/10</f>
        <v>0.8</v>
      </c>
      <c r="D2" s="1">
        <f>8/10</f>
        <v>0.8</v>
      </c>
      <c r="E2" s="1">
        <f>8/10</f>
        <v>0.8</v>
      </c>
      <c r="F2" s="1">
        <f>8/10</f>
        <v>0.8</v>
      </c>
      <c r="G2" s="1">
        <f>8/10</f>
        <v>0.8</v>
      </c>
      <c r="I2" s="2" t="s">
        <v>2</v>
      </c>
      <c r="J2" s="2" t="s">
        <v>113</v>
      </c>
      <c r="K2" s="2" t="s">
        <v>112</v>
      </c>
      <c r="L2" s="2" t="s">
        <v>112</v>
      </c>
      <c r="M2" s="2" t="s">
        <v>38</v>
      </c>
      <c r="N2" s="1">
        <v>40.770000000000003</v>
      </c>
    </row>
    <row r="3" spans="1:14" x14ac:dyDescent="0.2">
      <c r="A3">
        <v>60</v>
      </c>
      <c r="B3" s="1">
        <f t="shared" ref="B3:B21" si="0">AVERAGE(C3:G3)</f>
        <v>1</v>
      </c>
      <c r="C3" s="1">
        <f>10/10</f>
        <v>1</v>
      </c>
      <c r="D3" s="1">
        <f>10/10</f>
        <v>1</v>
      </c>
      <c r="E3" s="1">
        <f>10/10</f>
        <v>1</v>
      </c>
      <c r="F3" s="1">
        <f>10/10</f>
        <v>1</v>
      </c>
      <c r="G3" s="1">
        <f>10/10</f>
        <v>1</v>
      </c>
      <c r="I3" s="2" t="s">
        <v>3</v>
      </c>
      <c r="J3" s="2" t="s">
        <v>113</v>
      </c>
      <c r="K3" s="2" t="s">
        <v>112</v>
      </c>
      <c r="L3" s="2" t="s">
        <v>112</v>
      </c>
      <c r="M3" s="2" t="s">
        <v>38</v>
      </c>
      <c r="N3" s="1">
        <v>40.5</v>
      </c>
    </row>
    <row r="4" spans="1:14" x14ac:dyDescent="0.2">
      <c r="A4">
        <v>90</v>
      </c>
      <c r="B4" s="1">
        <f t="shared" si="0"/>
        <v>1</v>
      </c>
      <c r="C4" s="1">
        <f t="shared" ref="C4:G21" si="1">10/10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113</v>
      </c>
      <c r="K4" s="2" t="s">
        <v>112</v>
      </c>
      <c r="L4" s="2" t="s">
        <v>112</v>
      </c>
      <c r="M4" s="2" t="s">
        <v>38</v>
      </c>
      <c r="N4" s="1">
        <v>40.71</v>
      </c>
    </row>
    <row r="5" spans="1:14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113</v>
      </c>
      <c r="K5" s="2" t="s">
        <v>112</v>
      </c>
      <c r="L5" s="2" t="s">
        <v>112</v>
      </c>
      <c r="M5" s="2" t="s">
        <v>38</v>
      </c>
      <c r="N5" s="1">
        <v>40.58</v>
      </c>
    </row>
    <row r="6" spans="1:14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113</v>
      </c>
      <c r="K6" s="2" t="s">
        <v>112</v>
      </c>
      <c r="L6" s="2" t="s">
        <v>112</v>
      </c>
      <c r="M6" s="2" t="s">
        <v>38</v>
      </c>
      <c r="N6" s="1">
        <v>40.22</v>
      </c>
    </row>
    <row r="7" spans="1:14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113</v>
      </c>
      <c r="K7" s="2" t="s">
        <v>112</v>
      </c>
      <c r="L7" s="2" t="s">
        <v>112</v>
      </c>
      <c r="M7" s="2" t="s">
        <v>38</v>
      </c>
      <c r="N7" s="1">
        <f>AVERAGE(N2:N6)</f>
        <v>40.555999999999997</v>
      </c>
    </row>
    <row r="8" spans="1:14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4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4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4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4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4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4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4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4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E236-4135-A849-993E-B5A600387A10}">
  <dimension ref="A1:L21"/>
  <sheetViews>
    <sheetView tabSelected="1" zoomScale="126" workbookViewId="0">
      <selection sqref="A1:L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 t="shared" ref="C2:E4" si="0">0/52</f>
        <v>0</v>
      </c>
      <c r="D2" s="1">
        <f t="shared" si="0"/>
        <v>0</v>
      </c>
      <c r="E2" s="1">
        <f t="shared" si="0"/>
        <v>0</v>
      </c>
      <c r="F2" s="1">
        <f t="shared" ref="F2:F21" si="1">1/52</f>
        <v>1.9230769230769232E-2</v>
      </c>
      <c r="G2" s="1">
        <f t="shared" ref="G2:G21" si="2">0/52</f>
        <v>0</v>
      </c>
      <c r="I2" s="2" t="s">
        <v>2</v>
      </c>
      <c r="J2" s="2" t="s">
        <v>75</v>
      </c>
      <c r="K2" s="2" t="s">
        <v>92</v>
      </c>
      <c r="L2" s="2" t="s">
        <v>94</v>
      </c>
    </row>
    <row r="3" spans="1:12" x14ac:dyDescent="0.2">
      <c r="A3">
        <v>60</v>
      </c>
      <c r="B3" s="1">
        <f t="shared" ref="B3:B21" si="3">AVERAGE(C3:G3)</f>
        <v>3.8461538461538464E-3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si="1"/>
        <v>1.9230769230769232E-2</v>
      </c>
      <c r="G3" s="1">
        <f t="shared" si="2"/>
        <v>0</v>
      </c>
      <c r="I3" s="2" t="s">
        <v>3</v>
      </c>
      <c r="J3" s="2" t="s">
        <v>75</v>
      </c>
      <c r="K3" s="2" t="s">
        <v>92</v>
      </c>
      <c r="L3" s="2" t="s">
        <v>94</v>
      </c>
    </row>
    <row r="4" spans="1:12" x14ac:dyDescent="0.2">
      <c r="A4">
        <v>90</v>
      </c>
      <c r="B4" s="1">
        <f t="shared" si="3"/>
        <v>3.8461538461538464E-3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1"/>
        <v>1.9230769230769232E-2</v>
      </c>
      <c r="G4" s="1">
        <f t="shared" si="2"/>
        <v>0</v>
      </c>
      <c r="I4" s="2" t="s">
        <v>4</v>
      </c>
      <c r="J4" s="2" t="s">
        <v>75</v>
      </c>
      <c r="K4" s="2" t="s">
        <v>93</v>
      </c>
      <c r="L4" s="2" t="s">
        <v>95</v>
      </c>
    </row>
    <row r="5" spans="1:12" x14ac:dyDescent="0.2">
      <c r="A5">
        <v>120</v>
      </c>
      <c r="B5" s="1">
        <f t="shared" si="3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1"/>
        <v>1.9230769230769232E-2</v>
      </c>
      <c r="G5" s="1">
        <f t="shared" si="2"/>
        <v>0</v>
      </c>
      <c r="I5" s="2" t="s">
        <v>5</v>
      </c>
      <c r="J5" s="2" t="s">
        <v>75</v>
      </c>
      <c r="K5" s="2" t="s">
        <v>92</v>
      </c>
      <c r="L5" s="2" t="s">
        <v>94</v>
      </c>
    </row>
    <row r="6" spans="1:12" x14ac:dyDescent="0.2">
      <c r="A6">
        <v>150</v>
      </c>
      <c r="B6" s="1">
        <f t="shared" si="3"/>
        <v>1.5384615384615385E-2</v>
      </c>
      <c r="C6" s="1">
        <f t="shared" ref="C6:E21" si="4">1/52</f>
        <v>1.9230769230769232E-2</v>
      </c>
      <c r="D6" s="1">
        <f t="shared" si="4"/>
        <v>1.9230769230769232E-2</v>
      </c>
      <c r="E6" s="1">
        <f t="shared" si="4"/>
        <v>1.9230769230769232E-2</v>
      </c>
      <c r="F6" s="1">
        <f t="shared" si="1"/>
        <v>1.9230769230769232E-2</v>
      </c>
      <c r="G6" s="1">
        <f t="shared" si="2"/>
        <v>0</v>
      </c>
      <c r="I6" s="2" t="s">
        <v>6</v>
      </c>
      <c r="J6" s="2" t="s">
        <v>75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3"/>
        <v>1.5384615384615385E-2</v>
      </c>
      <c r="C7" s="1">
        <f t="shared" si="4"/>
        <v>1.9230769230769232E-2</v>
      </c>
      <c r="D7" s="1">
        <f t="shared" si="4"/>
        <v>1.9230769230769232E-2</v>
      </c>
      <c r="E7" s="1">
        <f t="shared" si="4"/>
        <v>1.9230769230769232E-2</v>
      </c>
      <c r="F7" s="1">
        <f t="shared" si="1"/>
        <v>1.9230769230769232E-2</v>
      </c>
      <c r="G7" s="1">
        <f t="shared" si="2"/>
        <v>0</v>
      </c>
      <c r="I7" s="2" t="s">
        <v>13</v>
      </c>
      <c r="J7" s="2" t="s">
        <v>75</v>
      </c>
      <c r="K7" s="2" t="s">
        <v>92</v>
      </c>
      <c r="L7" s="2" t="s">
        <v>94</v>
      </c>
    </row>
    <row r="8" spans="1:12" x14ac:dyDescent="0.2">
      <c r="A8">
        <v>210</v>
      </c>
      <c r="B8" s="1">
        <f t="shared" si="3"/>
        <v>1.5384615384615385E-2</v>
      </c>
      <c r="C8" s="1">
        <f t="shared" si="4"/>
        <v>1.9230769230769232E-2</v>
      </c>
      <c r="D8" s="1">
        <f t="shared" si="4"/>
        <v>1.9230769230769232E-2</v>
      </c>
      <c r="E8" s="1">
        <f t="shared" si="4"/>
        <v>1.9230769230769232E-2</v>
      </c>
      <c r="F8" s="1">
        <f t="shared" si="1"/>
        <v>1.9230769230769232E-2</v>
      </c>
      <c r="G8" s="1">
        <f t="shared" si="2"/>
        <v>0</v>
      </c>
    </row>
    <row r="9" spans="1:12" x14ac:dyDescent="0.2">
      <c r="A9">
        <v>240</v>
      </c>
      <c r="B9" s="1">
        <f t="shared" si="3"/>
        <v>1.5384615384615385E-2</v>
      </c>
      <c r="C9" s="1">
        <f t="shared" si="4"/>
        <v>1.9230769230769232E-2</v>
      </c>
      <c r="D9" s="1">
        <f t="shared" si="4"/>
        <v>1.9230769230769232E-2</v>
      </c>
      <c r="E9" s="1">
        <f t="shared" si="4"/>
        <v>1.9230769230769232E-2</v>
      </c>
      <c r="F9" s="1">
        <f t="shared" si="1"/>
        <v>1.9230769230769232E-2</v>
      </c>
      <c r="G9" s="1">
        <f t="shared" si="2"/>
        <v>0</v>
      </c>
    </row>
    <row r="10" spans="1:12" x14ac:dyDescent="0.2">
      <c r="A10">
        <v>270</v>
      </c>
      <c r="B10" s="1">
        <f t="shared" si="3"/>
        <v>1.5384615384615385E-2</v>
      </c>
      <c r="C10" s="1">
        <f t="shared" si="4"/>
        <v>1.9230769230769232E-2</v>
      </c>
      <c r="D10" s="1">
        <f t="shared" si="4"/>
        <v>1.9230769230769232E-2</v>
      </c>
      <c r="E10" s="1">
        <f t="shared" si="4"/>
        <v>1.9230769230769232E-2</v>
      </c>
      <c r="F10" s="1">
        <f t="shared" si="1"/>
        <v>1.9230769230769232E-2</v>
      </c>
      <c r="G10" s="1">
        <f t="shared" si="2"/>
        <v>0</v>
      </c>
    </row>
    <row r="11" spans="1:12" x14ac:dyDescent="0.2">
      <c r="A11">
        <v>300</v>
      </c>
      <c r="B11" s="1">
        <f t="shared" si="3"/>
        <v>1.5384615384615385E-2</v>
      </c>
      <c r="C11" s="1">
        <f t="shared" si="4"/>
        <v>1.9230769230769232E-2</v>
      </c>
      <c r="D11" s="1">
        <f t="shared" si="4"/>
        <v>1.9230769230769232E-2</v>
      </c>
      <c r="E11" s="1">
        <f t="shared" si="4"/>
        <v>1.9230769230769232E-2</v>
      </c>
      <c r="F11" s="1">
        <f t="shared" si="1"/>
        <v>1.9230769230769232E-2</v>
      </c>
      <c r="G11" s="1">
        <f t="shared" si="2"/>
        <v>0</v>
      </c>
    </row>
    <row r="12" spans="1:12" x14ac:dyDescent="0.2">
      <c r="A12">
        <v>330</v>
      </c>
      <c r="B12" s="1">
        <f t="shared" si="3"/>
        <v>1.5384615384615385E-2</v>
      </c>
      <c r="C12" s="1">
        <f t="shared" si="4"/>
        <v>1.9230769230769232E-2</v>
      </c>
      <c r="D12" s="1">
        <f t="shared" si="4"/>
        <v>1.9230769230769232E-2</v>
      </c>
      <c r="E12" s="1">
        <f t="shared" si="4"/>
        <v>1.9230769230769232E-2</v>
      </c>
      <c r="F12" s="1">
        <f t="shared" si="1"/>
        <v>1.9230769230769232E-2</v>
      </c>
      <c r="G12" s="1">
        <f t="shared" si="2"/>
        <v>0</v>
      </c>
    </row>
    <row r="13" spans="1:12" x14ac:dyDescent="0.2">
      <c r="A13">
        <v>360</v>
      </c>
      <c r="B13" s="1">
        <f t="shared" si="3"/>
        <v>1.5384615384615385E-2</v>
      </c>
      <c r="C13" s="1">
        <f t="shared" si="4"/>
        <v>1.9230769230769232E-2</v>
      </c>
      <c r="D13" s="1">
        <f t="shared" si="4"/>
        <v>1.9230769230769232E-2</v>
      </c>
      <c r="E13" s="1">
        <f t="shared" si="4"/>
        <v>1.9230769230769232E-2</v>
      </c>
      <c r="F13" s="1">
        <f t="shared" si="1"/>
        <v>1.9230769230769232E-2</v>
      </c>
      <c r="G13" s="1">
        <f t="shared" si="2"/>
        <v>0</v>
      </c>
    </row>
    <row r="14" spans="1:12" x14ac:dyDescent="0.2">
      <c r="A14">
        <v>390</v>
      </c>
      <c r="B14" s="1">
        <f t="shared" si="3"/>
        <v>1.5384615384615385E-2</v>
      </c>
      <c r="C14" s="1">
        <f t="shared" si="4"/>
        <v>1.9230769230769232E-2</v>
      </c>
      <c r="D14" s="1">
        <f t="shared" si="4"/>
        <v>1.9230769230769232E-2</v>
      </c>
      <c r="E14" s="1">
        <f t="shared" si="4"/>
        <v>1.9230769230769232E-2</v>
      </c>
      <c r="F14" s="1">
        <f t="shared" si="1"/>
        <v>1.9230769230769232E-2</v>
      </c>
      <c r="G14" s="1">
        <f t="shared" si="2"/>
        <v>0</v>
      </c>
    </row>
    <row r="15" spans="1:12" x14ac:dyDescent="0.2">
      <c r="A15">
        <v>420</v>
      </c>
      <c r="B15" s="1">
        <f t="shared" si="3"/>
        <v>1.5384615384615385E-2</v>
      </c>
      <c r="C15" s="1">
        <f t="shared" si="4"/>
        <v>1.9230769230769232E-2</v>
      </c>
      <c r="D15" s="1">
        <f t="shared" si="4"/>
        <v>1.9230769230769232E-2</v>
      </c>
      <c r="E15" s="1">
        <f t="shared" si="4"/>
        <v>1.9230769230769232E-2</v>
      </c>
      <c r="F15" s="1">
        <f t="shared" si="1"/>
        <v>1.9230769230769232E-2</v>
      </c>
      <c r="G15" s="1">
        <f t="shared" si="2"/>
        <v>0</v>
      </c>
    </row>
    <row r="16" spans="1:12" x14ac:dyDescent="0.2">
      <c r="A16">
        <v>450</v>
      </c>
      <c r="B16" s="1">
        <f t="shared" si="3"/>
        <v>1.9230769230769232E-2</v>
      </c>
      <c r="C16" s="1">
        <f t="shared" si="4"/>
        <v>1.9230769230769232E-2</v>
      </c>
      <c r="D16" s="1">
        <f t="shared" si="4"/>
        <v>1.9230769230769232E-2</v>
      </c>
      <c r="E16" s="1">
        <f>2/52</f>
        <v>3.8461538461538464E-2</v>
      </c>
      <c r="F16" s="1">
        <f t="shared" si="1"/>
        <v>1.9230769230769232E-2</v>
      </c>
      <c r="G16" s="1">
        <f t="shared" si="2"/>
        <v>0</v>
      </c>
    </row>
    <row r="17" spans="1:7" x14ac:dyDescent="0.2">
      <c r="A17">
        <v>480</v>
      </c>
      <c r="B17" s="1">
        <f t="shared" si="3"/>
        <v>1.9230769230769232E-2</v>
      </c>
      <c r="C17" s="1">
        <f t="shared" si="4"/>
        <v>1.9230769230769232E-2</v>
      </c>
      <c r="D17" s="1">
        <f t="shared" si="4"/>
        <v>1.9230769230769232E-2</v>
      </c>
      <c r="E17" s="1">
        <f t="shared" ref="E17:E21" si="5">2/52</f>
        <v>3.8461538461538464E-2</v>
      </c>
      <c r="F17" s="1">
        <f t="shared" si="1"/>
        <v>1.9230769230769232E-2</v>
      </c>
      <c r="G17" s="1">
        <f t="shared" si="2"/>
        <v>0</v>
      </c>
    </row>
    <row r="18" spans="1:7" x14ac:dyDescent="0.2">
      <c r="A18">
        <v>510</v>
      </c>
      <c r="B18" s="1">
        <f t="shared" si="3"/>
        <v>1.9230769230769232E-2</v>
      </c>
      <c r="C18" s="1">
        <f t="shared" si="4"/>
        <v>1.9230769230769232E-2</v>
      </c>
      <c r="D18" s="1">
        <f t="shared" si="4"/>
        <v>1.9230769230769232E-2</v>
      </c>
      <c r="E18" s="1">
        <f t="shared" si="5"/>
        <v>3.8461538461538464E-2</v>
      </c>
      <c r="F18" s="1">
        <f t="shared" si="1"/>
        <v>1.9230769230769232E-2</v>
      </c>
      <c r="G18" s="1">
        <f t="shared" si="2"/>
        <v>0</v>
      </c>
    </row>
    <row r="19" spans="1:7" x14ac:dyDescent="0.2">
      <c r="A19">
        <v>540</v>
      </c>
      <c r="B19" s="1">
        <f t="shared" si="3"/>
        <v>1.9230769230769232E-2</v>
      </c>
      <c r="C19" s="1">
        <f t="shared" si="4"/>
        <v>1.9230769230769232E-2</v>
      </c>
      <c r="D19" s="1">
        <f t="shared" si="4"/>
        <v>1.9230769230769232E-2</v>
      </c>
      <c r="E19" s="1">
        <f t="shared" si="5"/>
        <v>3.8461538461538464E-2</v>
      </c>
      <c r="F19" s="1">
        <f t="shared" si="1"/>
        <v>1.9230769230769232E-2</v>
      </c>
      <c r="G19" s="1">
        <f t="shared" si="2"/>
        <v>0</v>
      </c>
    </row>
    <row r="20" spans="1:7" x14ac:dyDescent="0.2">
      <c r="A20">
        <v>570</v>
      </c>
      <c r="B20" s="1">
        <f t="shared" si="3"/>
        <v>1.9230769230769232E-2</v>
      </c>
      <c r="C20" s="1">
        <f t="shared" si="4"/>
        <v>1.9230769230769232E-2</v>
      </c>
      <c r="D20" s="1">
        <f t="shared" si="4"/>
        <v>1.9230769230769232E-2</v>
      </c>
      <c r="E20" s="1">
        <f t="shared" si="5"/>
        <v>3.8461538461538464E-2</v>
      </c>
      <c r="F20" s="1">
        <f t="shared" si="1"/>
        <v>1.9230769230769232E-2</v>
      </c>
      <c r="G20" s="1">
        <f t="shared" si="2"/>
        <v>0</v>
      </c>
    </row>
    <row r="21" spans="1:7" x14ac:dyDescent="0.2">
      <c r="A21">
        <v>600</v>
      </c>
      <c r="B21" s="1">
        <f t="shared" si="3"/>
        <v>1.9230769230769232E-2</v>
      </c>
      <c r="C21" s="1">
        <f t="shared" si="4"/>
        <v>1.9230769230769232E-2</v>
      </c>
      <c r="D21" s="1">
        <f t="shared" si="4"/>
        <v>1.9230769230769232E-2</v>
      </c>
      <c r="E21" s="1">
        <f t="shared" si="5"/>
        <v>3.8461538461538464E-2</v>
      </c>
      <c r="F21" s="1">
        <f t="shared" si="1"/>
        <v>1.9230769230769232E-2</v>
      </c>
      <c r="G21" s="1">
        <f t="shared" si="2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B2" sqref="B2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Template-XRintTest'!B2, 'XRI Assets-XRintTest'!B2, 'EscapeProto-XRintTest'!B2, 'EscapeRoom-XRintTest'!B2, 'GameJam-XRintTest'!B2, 'XRI Kit-XRintTest'!B2, 'XRI Examples-XRintTest'!B2)</f>
        <v>0.43009606846725462</v>
      </c>
      <c r="D2" t="s">
        <v>43</v>
      </c>
      <c r="E2" s="1">
        <f>AVERAGE('VR Template-XRintTest'!M7, 'XRI Assets-XRintTest'!M7, 'EscapeProto-XRintTest'!M7, 'EscapeRoom-XRintTest'!M7, 'GameJam-XRintTest'!M7, 'XRI Kit-XRintTest'!M7, 'XRI Examples-XRintTest'!M7)</f>
        <v>148.21142857142857</v>
      </c>
    </row>
    <row r="3" spans="1:5" x14ac:dyDescent="0.2">
      <c r="A3">
        <v>60</v>
      </c>
      <c r="B3" s="1">
        <f>AVERAGE('VR Template-XRintTest'!B3, 'XRI Assets-XRintTest'!B3, 'EscapeProto-XRintTest'!B3, 'EscapeRoom-XRintTest'!B3, 'GameJam-XRintTest'!B3, 'XRI Kit-XRintTest'!B3, 'XRI Examples-XRintTest'!B3)</f>
        <v>0.65378651414207867</v>
      </c>
    </row>
    <row r="4" spans="1:5" x14ac:dyDescent="0.2">
      <c r="A4">
        <v>90</v>
      </c>
      <c r="B4" s="1">
        <f>AVERAGE('VR Template-XRintTest'!B4, 'XRI Assets-XRintTest'!B4, 'EscapeProto-XRintTest'!B4, 'EscapeRoom-XRintTest'!B4, 'GameJam-XRintTest'!B4, 'XRI Kit-XRintTest'!B4, 'XRI Examples-XRintTest'!B4)</f>
        <v>0.73980481150027155</v>
      </c>
    </row>
    <row r="5" spans="1:5" x14ac:dyDescent="0.2">
      <c r="A5">
        <v>120</v>
      </c>
      <c r="B5" s="1">
        <f>AVERAGE('VR Template-XRintTest'!B5, 'XRI Assets-XRintTest'!B5, 'EscapeProto-XRintTest'!B5, 'EscapeRoom-XRintTest'!B5, 'GameJam-XRintTest'!B5, 'XRI Kit-XRintTest'!B5, 'XRI Examples-XRintTest'!B5)</f>
        <v>0.80542121598770855</v>
      </c>
    </row>
    <row r="6" spans="1:5" x14ac:dyDescent="0.2">
      <c r="A6">
        <v>150</v>
      </c>
      <c r="B6" s="1">
        <f>AVERAGE('VR Template-XRintTest'!B6, 'XRI Assets-XRintTest'!B6, 'EscapeProto-XRintTest'!B6, 'EscapeRoom-XRintTest'!B6, 'GameJam-XRintTest'!B6, 'XRI Kit-XRintTest'!B6, 'XRI Examples-XRintTest'!B6)</f>
        <v>0.85228875182671893</v>
      </c>
    </row>
    <row r="7" spans="1:5" x14ac:dyDescent="0.2">
      <c r="A7">
        <v>180</v>
      </c>
      <c r="B7" s="1">
        <f>AVERAGE('VR Template-XRintTest'!B7, 'XRI Assets-XRintTest'!B7, 'EscapeProto-XRintTest'!B7, 'EscapeRoom-XRintTest'!B7, 'GameJam-XRintTest'!B7, 'XRI Kit-XRintTest'!B7, 'XRI Examples-XRintTest'!B7)</f>
        <v>0.87738312310429634</v>
      </c>
    </row>
    <row r="8" spans="1:5" x14ac:dyDescent="0.2">
      <c r="A8">
        <v>210</v>
      </c>
      <c r="B8" s="1">
        <f>AVERAGE('VR Template-XRintTest'!B8, 'XRI Assets-XRintTest'!B8, 'EscapeProto-XRintTest'!B8, 'EscapeRoom-XRintTest'!B8, 'GameJam-XRintTest'!B8, 'XRI Kit-XRintTest'!B8, 'XRI Examples-XRintTest'!B8)</f>
        <v>0.90490178764586149</v>
      </c>
    </row>
    <row r="9" spans="1:5" x14ac:dyDescent="0.2">
      <c r="A9">
        <v>240</v>
      </c>
      <c r="B9" s="1">
        <f>AVERAGE('VR Template-XRintTest'!B9, 'XRI Assets-XRintTest'!B9, 'EscapeProto-XRintTest'!B9, 'EscapeRoom-XRintTest'!B9, 'GameJam-XRintTest'!B9, 'XRI Kit-XRintTest'!B9, 'XRI Examples-XRintTest'!B9)</f>
        <v>0.92230385123113134</v>
      </c>
    </row>
    <row r="10" spans="1:5" x14ac:dyDescent="0.2">
      <c r="A10">
        <v>270</v>
      </c>
      <c r="B10" s="1">
        <f>AVERAGE('VR Template-XRintTest'!B10, 'XRI Assets-XRintTest'!B10, 'EscapeProto-XRintTest'!B10, 'EscapeRoom-XRintTest'!B10, 'GameJam-XRintTest'!B10, 'XRI Kit-XRintTest'!B10, 'XRI Examples-XRintTest'!B10)</f>
        <v>0.93255466911553697</v>
      </c>
    </row>
    <row r="11" spans="1:5" x14ac:dyDescent="0.2">
      <c r="A11">
        <v>300</v>
      </c>
      <c r="B11" s="1">
        <f>AVERAGE('VR Template-XRintTest'!B11, 'XRI Assets-XRintTest'!B11, 'EscapeProto-XRintTest'!B11, 'EscapeRoom-XRintTest'!B11, 'GameJam-XRintTest'!B11, 'XRI Kit-XRintTest'!B11, 'XRI Examples-XRintTest'!B11)</f>
        <v>0.94302358950812148</v>
      </c>
    </row>
    <row r="12" spans="1:5" x14ac:dyDescent="0.2">
      <c r="A12">
        <v>330</v>
      </c>
      <c r="B12" s="1">
        <f>AVERAGE('VR Template-XRintTest'!B12, 'XRI Assets-XRintTest'!B12, 'EscapeProto-XRintTest'!B12, 'EscapeRoom-XRintTest'!B12, 'GameJam-XRintTest'!B12, 'XRI Kit-XRintTest'!B12, 'XRI Examples-XRintTest'!B12)</f>
        <v>0.95392871491706366</v>
      </c>
    </row>
    <row r="13" spans="1:5" x14ac:dyDescent="0.2">
      <c r="A13">
        <v>360</v>
      </c>
      <c r="B13" s="1">
        <f>AVERAGE('VR Template-XRintTest'!B13, 'XRI Assets-XRintTest'!B13, 'EscapeProto-XRintTest'!B13, 'EscapeRoom-XRintTest'!B13, 'GameJam-XRintTest'!B13, 'XRI Kit-XRintTest'!B13, 'XRI Examples-XRintTest'!B13)</f>
        <v>0.96199850771968087</v>
      </c>
    </row>
    <row r="14" spans="1:5" x14ac:dyDescent="0.2">
      <c r="A14">
        <v>390</v>
      </c>
      <c r="B14" s="1">
        <f>AVERAGE('VR Template-XRintTest'!B14, 'XRI Assets-XRintTest'!B14, 'EscapeProto-XRintTest'!B14, 'EscapeRoom-XRintTest'!B14, 'GameJam-XRintTest'!B14, 'XRI Kit-XRintTest'!B14, 'XRI Examples-XRintTest'!B14)</f>
        <v>0.97094071055501352</v>
      </c>
    </row>
    <row r="15" spans="1:5" x14ac:dyDescent="0.2">
      <c r="A15">
        <v>420</v>
      </c>
      <c r="B15" s="1">
        <f>AVERAGE('VR Template-XRintTest'!B15, 'XRI Assets-XRintTest'!B15, 'EscapeProto-XRintTest'!B15, 'EscapeRoom-XRintTest'!B15, 'GameJam-XRintTest'!B15, 'XRI Kit-XRintTest'!B15, 'XRI Examples-XRintTest'!B15)</f>
        <v>0.98075532342306138</v>
      </c>
    </row>
    <row r="16" spans="1:5" x14ac:dyDescent="0.2">
      <c r="A16">
        <v>450</v>
      </c>
      <c r="B16" s="1">
        <f>AVERAGE('VR Template-XRintTest'!B16, 'XRI Assets-XRintTest'!B16, 'EscapeProto-XRintTest'!B16, 'EscapeRoom-XRintTest'!B16, 'GameJam-XRintTest'!B16, 'XRI Kit-XRintTest'!B16, 'XRI Examples-XRintTest'!B16)</f>
        <v>0.9864259886357114</v>
      </c>
    </row>
    <row r="17" spans="1:2" x14ac:dyDescent="0.2">
      <c r="A17">
        <v>480</v>
      </c>
      <c r="B17" s="1">
        <f>AVERAGE('VR Template-XRintTest'!B17, 'XRI Assets-XRintTest'!B17, 'EscapeProto-XRintTest'!B17, 'EscapeRoom-XRintTest'!B17, 'GameJam-XRintTest'!B17, 'XRI Kit-XRintTest'!B17, 'XRI Examples-XRintTest'!B17)</f>
        <v>0.99013373127475179</v>
      </c>
    </row>
    <row r="18" spans="1:2" x14ac:dyDescent="0.2">
      <c r="A18">
        <v>510</v>
      </c>
      <c r="B18" s="1">
        <f>AVERAGE('VR Template-XRintTest'!B18, 'XRI Assets-XRintTest'!B18, 'EscapeProto-XRintTest'!B18, 'EscapeRoom-XRintTest'!B18, 'GameJam-XRintTest'!B18, 'XRI Kit-XRintTest'!B18, 'XRI Examples-XRintTest'!B18)</f>
        <v>0.99078803879928834</v>
      </c>
    </row>
    <row r="19" spans="1:2" x14ac:dyDescent="0.2">
      <c r="A19">
        <v>540</v>
      </c>
      <c r="B19" s="1">
        <f>AVERAGE('VR Template-XRintTest'!B19, 'XRI Assets-XRintTest'!B19, 'EscapeProto-XRintTest'!B19, 'EscapeRoom-XRintTest'!B19, 'GameJam-XRintTest'!B19, 'XRI Kit-XRintTest'!B19, 'XRI Examples-XRintTest'!B19)</f>
        <v>0.99100614130746723</v>
      </c>
    </row>
    <row r="20" spans="1:2" x14ac:dyDescent="0.2">
      <c r="A20">
        <v>570</v>
      </c>
      <c r="B20" s="1">
        <f>AVERAGE('VR Template-XRintTest'!B20, 'XRI Assets-XRintTest'!B20, 'EscapeProto-XRintTest'!B20, 'EscapeRoom-XRintTest'!B20, 'GameJam-XRintTest'!B20, 'XRI Kit-XRintTest'!B20, 'XRI Examples-XRintTest'!B20)</f>
        <v>0.99100614130746723</v>
      </c>
    </row>
    <row r="21" spans="1:2" x14ac:dyDescent="0.2">
      <c r="A21">
        <v>600</v>
      </c>
      <c r="B21" s="1">
        <f>AVERAGE('VR Template-XRintTest'!B21, 'XRI Assets-XRintTest'!B21, 'EscapeProto-XRintTest'!B21, 'EscapeRoom-XRintTest'!B21, 'GameJam-XRintTest'!B21, 'XRI Kit-XRintTest'!B21, 'XRI Examples-XRintTest'!B21)</f>
        <v>0.99100614130746723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:B21"/>
  <sheetViews>
    <sheetView zoomScale="200" workbookViewId="0">
      <selection activeCell="B19" sqref="B19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AVERAGE('VR Template-Random'!B2, 'XRI Assets-Random'!B2, 'EscapeProto-Random'!B2, 'EscapeRoom-Random'!B2, 'GameJam-Random'!B2, 'XRI Kit-Random'!B2, 'XRI Examples-Random'!B2)</f>
        <v>3.3362652165975018E-2</v>
      </c>
    </row>
    <row r="3" spans="1:2" x14ac:dyDescent="0.2">
      <c r="A3">
        <v>60</v>
      </c>
      <c r="B3" s="1">
        <f>AVERAGE('VR Template-Random'!B3, 'XRI Assets-Random'!B3, 'EscapeProto-Random'!B3, 'EscapeRoom-Random'!B3, 'GameJam-Random'!B3, 'XRI Kit-Random'!B3, 'XRI Examples-Random'!B3)</f>
        <v>4.2264940816804306E-2</v>
      </c>
    </row>
    <row r="4" spans="1:2" x14ac:dyDescent="0.2">
      <c r="A4">
        <v>90</v>
      </c>
      <c r="B4" s="1">
        <f>AVERAGE('VR Template-Random'!B4, 'XRI Assets-Random'!B4, 'EscapeProto-Random'!B4, 'EscapeRoom-Random'!B4, 'GameJam-Random'!B4, 'XRI Kit-Random'!B4, 'XRI Examples-Random'!B4)</f>
        <v>6.2020858451033577E-2</v>
      </c>
    </row>
    <row r="5" spans="1:2" x14ac:dyDescent="0.2">
      <c r="A5">
        <v>120</v>
      </c>
      <c r="B5" s="1">
        <f>AVERAGE('VR Template-Random'!B5, 'XRI Assets-Random'!B5, 'EscapeProto-Random'!B5, 'EscapeRoom-Random'!B5, 'GameJam-Random'!B5, 'XRI Kit-Random'!B5, 'XRI Examples-Random'!B5)</f>
        <v>7.9143009100705333E-2</v>
      </c>
    </row>
    <row r="6" spans="1:2" x14ac:dyDescent="0.2">
      <c r="A6">
        <v>150</v>
      </c>
      <c r="B6" s="1">
        <f>AVERAGE('VR Template-Random'!B6, 'XRI Assets-Random'!B6, 'EscapeProto-Random'!B6, 'EscapeRoom-Random'!B6, 'GameJam-Random'!B6, 'XRI Kit-Random'!B6, 'XRI Examples-Random'!B6)</f>
        <v>9.3434350386114612E-2</v>
      </c>
    </row>
    <row r="7" spans="1:2" x14ac:dyDescent="0.2">
      <c r="A7">
        <v>180</v>
      </c>
      <c r="B7" s="1">
        <f>AVERAGE('VR Template-Random'!B7, 'XRI Assets-Random'!B7, 'EscapeProto-Random'!B7, 'EscapeRoom-Random'!B7, 'GameJam-Random'!B7, 'XRI Kit-Random'!B7, 'XRI Examples-Random'!B7)</f>
        <v>0.10690307120777663</v>
      </c>
    </row>
    <row r="8" spans="1:2" x14ac:dyDescent="0.2">
      <c r="A8">
        <v>210</v>
      </c>
      <c r="B8" s="1">
        <f>AVERAGE('VR Template-Random'!B8, 'XRI Assets-Random'!B8, 'EscapeProto-Random'!B8, 'EscapeRoom-Random'!B8, 'GameJam-Random'!B8, 'XRI Kit-Random'!B8, 'XRI Examples-Random'!B8)</f>
        <v>0.10809354739825282</v>
      </c>
    </row>
    <row r="9" spans="1:2" x14ac:dyDescent="0.2">
      <c r="A9">
        <v>240</v>
      </c>
      <c r="B9" s="1">
        <f>AVERAGE('VR Template-Random'!B9, 'XRI Assets-Random'!B9, 'EscapeProto-Random'!B9, 'EscapeRoom-Random'!B9, 'GameJam-Random'!B9, 'XRI Kit-Random'!B9, 'XRI Examples-Random'!B9)</f>
        <v>0.11743204106543979</v>
      </c>
    </row>
    <row r="10" spans="1:2" x14ac:dyDescent="0.2">
      <c r="A10">
        <v>270</v>
      </c>
      <c r="B10" s="1">
        <f>AVERAGE('VR Template-Random'!B10, 'XRI Assets-Random'!B10, 'EscapeProto-Random'!B10, 'EscapeRoom-Random'!B10, 'GameJam-Random'!B10, 'XRI Kit-Random'!B10, 'XRI Examples-Random'!B10)</f>
        <v>0.1292448577951851</v>
      </c>
    </row>
    <row r="11" spans="1:2" x14ac:dyDescent="0.2">
      <c r="A11">
        <v>300</v>
      </c>
      <c r="B11" s="1">
        <f>AVERAGE('VR Template-Random'!B11, 'XRI Assets-Random'!B11, 'EscapeProto-Random'!B11, 'EscapeRoom-Random'!B11, 'GameJam-Random'!B11, 'XRI Kit-Random'!B11, 'XRI Examples-Random'!B11)</f>
        <v>0.14953035112737803</v>
      </c>
    </row>
    <row r="12" spans="1:2" x14ac:dyDescent="0.2">
      <c r="A12">
        <v>330</v>
      </c>
      <c r="B12" s="1">
        <f>AVERAGE('VR Template-Random'!B12, 'XRI Assets-Random'!B12, 'EscapeProto-Random'!B12, 'EscapeRoom-Random'!B12, 'GameJam-Random'!B12, 'XRI Kit-Random'!B12, 'XRI Examples-Random'!B12)</f>
        <v>0.15482183158724647</v>
      </c>
    </row>
    <row r="13" spans="1:2" x14ac:dyDescent="0.2">
      <c r="A13">
        <v>360</v>
      </c>
      <c r="B13" s="1">
        <f>AVERAGE('VR Template-Random'!B13, 'XRI Assets-Random'!B13, 'EscapeProto-Random'!B13, 'EscapeRoom-Random'!B13, 'GameJam-Random'!B13, 'XRI Kit-Random'!B13, 'XRI Examples-Random'!B13)</f>
        <v>0.15958373634915124</v>
      </c>
    </row>
    <row r="14" spans="1:2" x14ac:dyDescent="0.2">
      <c r="A14">
        <v>390</v>
      </c>
      <c r="B14" s="1">
        <f>AVERAGE('VR Template-Random'!B14, 'XRI Assets-Random'!B14, 'EscapeProto-Random'!B14, 'EscapeRoom-Random'!B14, 'GameJam-Random'!B14, 'XRI Kit-Random'!B14, 'XRI Examples-Random'!B14)</f>
        <v>0.1631551649205798</v>
      </c>
    </row>
    <row r="15" spans="1:2" x14ac:dyDescent="0.2">
      <c r="A15">
        <v>420</v>
      </c>
      <c r="B15" s="1">
        <f>AVERAGE('VR Template-Random'!B15, 'XRI Assets-Random'!B15, 'EscapeProto-Random'!B15, 'EscapeRoom-Random'!B15, 'GameJam-Random'!B15, 'XRI Kit-Random'!B15, 'XRI Examples-Random'!B15)</f>
        <v>0.17088158882347429</v>
      </c>
    </row>
    <row r="16" spans="1:2" x14ac:dyDescent="0.2">
      <c r="A16">
        <v>450</v>
      </c>
      <c r="B16" s="1">
        <f>AVERAGE('VR Template-Random'!B16, 'XRI Assets-Random'!B16, 'EscapeProto-Random'!B16, 'EscapeRoom-Random'!B16, 'GameJam-Random'!B16, 'XRI Kit-Random'!B16, 'XRI Examples-Random'!B16)</f>
        <v>0.17543628148584073</v>
      </c>
    </row>
    <row r="17" spans="1:2" x14ac:dyDescent="0.2">
      <c r="A17">
        <v>480</v>
      </c>
      <c r="B17" s="1">
        <f>AVERAGE('VR Template-Random'!B17, 'XRI Assets-Random'!B17, 'EscapeProto-Random'!B17, 'EscapeRoom-Random'!B17, 'GameJam-Random'!B17, 'XRI Kit-Random'!B17, 'XRI Examples-Random'!B17)</f>
        <v>0.1816147834209659</v>
      </c>
    </row>
    <row r="18" spans="1:2" x14ac:dyDescent="0.2">
      <c r="A18">
        <v>510</v>
      </c>
      <c r="B18" s="1">
        <f>AVERAGE('VR Template-Random'!B18, 'XRI Assets-Random'!B18, 'EscapeProto-Random'!B18, 'EscapeRoom-Random'!B18, 'GameJam-Random'!B18, 'XRI Kit-Random'!B18, 'XRI Examples-Random'!B18)</f>
        <v>0.18920186405474615</v>
      </c>
    </row>
    <row r="19" spans="1:2" x14ac:dyDescent="0.2">
      <c r="A19">
        <v>540</v>
      </c>
      <c r="B19" s="1">
        <f>AVERAGE('VR Template-Random'!B19, 'XRI Assets-Random'!B19, 'EscapeProto-Random'!B19, 'EscapeRoom-Random'!B19, 'GameJam-Random'!B19, 'XRI Kit-Random'!B19, 'XRI Examples-Random'!B19)</f>
        <v>0.19175494635636908</v>
      </c>
    </row>
    <row r="20" spans="1:2" x14ac:dyDescent="0.2">
      <c r="A20">
        <v>570</v>
      </c>
      <c r="B20" s="1">
        <f>AVERAGE('VR Template-Random'!B20, 'XRI Assets-Random'!B20, 'EscapeProto-Random'!B20, 'EscapeRoom-Random'!B20, 'GameJam-Random'!B20, 'XRI Kit-Random'!B20, 'XRI Examples-Random'!B20)</f>
        <v>0.19338162756320296</v>
      </c>
    </row>
    <row r="21" spans="1:2" x14ac:dyDescent="0.2">
      <c r="A21">
        <v>600</v>
      </c>
      <c r="B21" s="1">
        <f>AVERAGE('VR Template-Random'!B21, 'XRI Assets-Random'!B21, 'EscapeProto-Random'!B21, 'EscapeRoom-Random'!B21, 'GameJam-Random'!B21, 'XRI Kit-Random'!B21, 'XRI Examples-Random'!B21)</f>
        <v>0.20100006934195011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VR Template-XRintTest</vt:lpstr>
      <vt:lpstr>VR Template-Random</vt:lpstr>
      <vt:lpstr>XRI Assets-XRintTest</vt:lpstr>
      <vt:lpstr>XRI Assets-Random</vt:lpstr>
      <vt:lpstr>EscapeProto-XRintTest</vt:lpstr>
      <vt:lpstr>EscapeProto-Random</vt:lpstr>
      <vt:lpstr>EscapeRoom-XRintTest</vt:lpstr>
      <vt:lpstr>EscapeRoom-Random</vt:lpstr>
      <vt:lpstr>GameJam-XRintTest</vt:lpstr>
      <vt:lpstr>GameJam-Random</vt:lpstr>
      <vt:lpstr>XRI Kit-XRintTest</vt:lpstr>
      <vt:lpstr>XRI Kit-Random</vt:lpstr>
      <vt:lpstr>XRI Examples-XRintTest</vt:lpstr>
      <vt:lpstr>XRI Examples-Random</vt:lpstr>
      <vt:lpstr>XRToolKitEssentials-XRintTest</vt:lpstr>
      <vt:lpstr>XRToolKitEssentials-Random</vt:lpstr>
      <vt:lpstr>Average-XRintTest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2026-01-10T18:03:06Z</dcterms:modified>
</cp:coreProperties>
</file>