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E5B5FFA3-03E7-7348-8328-DD4A7A3845E4}" xr6:coauthVersionLast="47" xr6:coauthVersionMax="47" xr10:uidLastSave="{00000000-0000-0000-0000-000000000000}"/>
  <bookViews>
    <workbookView xWindow="-26700" yWindow="5840" windowWidth="28040" windowHeight="17440" activeTab="4" xr2:uid="{484EE131-55FD-F246-A82E-4E47E236206B}"/>
  </bookViews>
  <sheets>
    <sheet name="VR Template-Interactobot" sheetId="1" r:id="rId1"/>
    <sheet name="VR Template-Interactobot_rand" sheetId="2" r:id="rId2"/>
    <sheet name="XRI Assets-Interactobot" sheetId="3" r:id="rId3"/>
    <sheet name="XRI Assets-Interactobot_rand" sheetId="4" r:id="rId4"/>
    <sheet name="EscapeProto-Interactobot" sheetId="5" r:id="rId5"/>
    <sheet name="EscapeProto-Interactobot_ran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5" l="1"/>
  <c r="B7" i="5"/>
  <c r="B8" i="5"/>
  <c r="B9" i="5"/>
  <c r="B10" i="5"/>
  <c r="B11" i="5"/>
  <c r="B5" i="5"/>
  <c r="B4" i="5"/>
  <c r="B3" i="5"/>
  <c r="B2" i="5"/>
  <c r="B11" i="6"/>
  <c r="B10" i="6"/>
  <c r="B9" i="6"/>
  <c r="B8" i="6"/>
  <c r="B7" i="6"/>
  <c r="B6" i="6"/>
  <c r="B5" i="6"/>
  <c r="B4" i="6"/>
  <c r="B3" i="6"/>
  <c r="B2" i="6"/>
  <c r="B5" i="3"/>
  <c r="B6" i="3"/>
  <c r="B7" i="3"/>
  <c r="B8" i="3"/>
  <c r="B9" i="3"/>
  <c r="B10" i="3"/>
  <c r="B11" i="3"/>
  <c r="B4" i="3"/>
  <c r="B3" i="3"/>
  <c r="B2" i="3"/>
  <c r="B11" i="4"/>
  <c r="B10" i="4"/>
  <c r="B9" i="4"/>
  <c r="B8" i="4"/>
  <c r="B7" i="4"/>
  <c r="B6" i="4"/>
  <c r="B5" i="4"/>
  <c r="B4" i="4"/>
  <c r="B3" i="4"/>
  <c r="B2" i="4"/>
  <c r="B3" i="2"/>
  <c r="B4" i="2"/>
  <c r="B5" i="2"/>
  <c r="B6" i="2"/>
  <c r="B7" i="2"/>
  <c r="B8" i="2"/>
  <c r="B9" i="2"/>
  <c r="B10" i="2"/>
  <c r="B11" i="2"/>
  <c r="B2" i="2"/>
  <c r="B6" i="1"/>
  <c r="B7" i="1"/>
  <c r="B8" i="1"/>
  <c r="B9" i="1"/>
  <c r="B10" i="1"/>
  <c r="B11" i="1"/>
  <c r="B5" i="1"/>
  <c r="B4" i="1"/>
  <c r="B3" i="1"/>
  <c r="B2" i="1"/>
</calcChain>
</file>

<file path=xl/sharedStrings.xml><?xml version="1.0" encoding="utf-8"?>
<sst xmlns="http://schemas.openxmlformats.org/spreadsheetml/2006/main" count="27" uniqueCount="7">
  <si>
    <t>Time</t>
  </si>
  <si>
    <t>Coverage</t>
  </si>
  <si>
    <t>Run 1</t>
  </si>
  <si>
    <t>Run 2</t>
  </si>
  <si>
    <t>Run 3</t>
  </si>
  <si>
    <t>Run 4</t>
  </si>
  <si>
    <t>Run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</si>
</sst>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E11"/>
  <sheetViews>
    <sheetView workbookViewId="0">
      <selection sqref="A1:B11"/>
    </sheetView>
  </sheetViews>
  <sheetFormatPr baseColWidth="10" defaultRowHeight="16" x14ac:dyDescent="0.2"/>
  <cols>
    <col min="2" max="2" width="10.83203125" style="1"/>
    <col min="5" max="5" width="10.83203125" style="1"/>
  </cols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2/11</f>
        <v>0.18181818181818182</v>
      </c>
    </row>
    <row r="3" spans="1:2" x14ac:dyDescent="0.2">
      <c r="A3">
        <v>60</v>
      </c>
      <c r="B3" s="1">
        <f>7/11</f>
        <v>0.63636363636363635</v>
      </c>
    </row>
    <row r="4" spans="1:2" x14ac:dyDescent="0.2">
      <c r="A4">
        <v>90</v>
      </c>
      <c r="B4" s="1">
        <f>10/11</f>
        <v>0.90909090909090906</v>
      </c>
    </row>
    <row r="5" spans="1:2" x14ac:dyDescent="0.2">
      <c r="A5">
        <v>120</v>
      </c>
      <c r="B5" s="1">
        <f>10/11</f>
        <v>0.90909090909090906</v>
      </c>
    </row>
    <row r="6" spans="1:2" x14ac:dyDescent="0.2">
      <c r="A6">
        <v>150</v>
      </c>
      <c r="B6" s="1">
        <f t="shared" ref="B6:B11" si="0">10/11</f>
        <v>0.90909090909090906</v>
      </c>
    </row>
    <row r="7" spans="1:2" x14ac:dyDescent="0.2">
      <c r="A7">
        <v>180</v>
      </c>
      <c r="B7" s="1">
        <f t="shared" si="0"/>
        <v>0.90909090909090906</v>
      </c>
    </row>
    <row r="8" spans="1:2" x14ac:dyDescent="0.2">
      <c r="A8">
        <v>210</v>
      </c>
      <c r="B8" s="1">
        <f t="shared" si="0"/>
        <v>0.90909090909090906</v>
      </c>
    </row>
    <row r="9" spans="1:2" x14ac:dyDescent="0.2">
      <c r="A9">
        <v>240</v>
      </c>
      <c r="B9" s="1">
        <f t="shared" si="0"/>
        <v>0.90909090909090906</v>
      </c>
    </row>
    <row r="10" spans="1:2" x14ac:dyDescent="0.2">
      <c r="A10">
        <v>270</v>
      </c>
      <c r="B10" s="1">
        <f t="shared" si="0"/>
        <v>0.90909090909090906</v>
      </c>
    </row>
    <row r="11" spans="1:2" x14ac:dyDescent="0.2">
      <c r="A11">
        <v>300</v>
      </c>
      <c r="B11" s="1">
        <f t="shared" si="0"/>
        <v>0.90909090909090906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G11"/>
  <sheetViews>
    <sheetView workbookViewId="0">
      <selection sqref="A1:G11"/>
    </sheetView>
  </sheetViews>
  <sheetFormatPr baseColWidth="10" defaultRowHeight="16" x14ac:dyDescent="0.2"/>
  <cols>
    <col min="2" max="2" width="10.83203125" style="1"/>
  </cols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5.4545454545454543E-2</v>
      </c>
      <c r="C2">
        <v>0</v>
      </c>
      <c r="D2">
        <v>2</v>
      </c>
      <c r="E2">
        <v>0</v>
      </c>
      <c r="F2">
        <v>1</v>
      </c>
      <c r="G2">
        <v>0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2</v>
      </c>
      <c r="E3">
        <v>0</v>
      </c>
      <c r="F3">
        <v>1</v>
      </c>
      <c r="G3">
        <v>0</v>
      </c>
    </row>
    <row r="4" spans="1:7" x14ac:dyDescent="0.2">
      <c r="A4">
        <v>90</v>
      </c>
      <c r="B4" s="1">
        <f t="shared" si="0"/>
        <v>9.0909090909090912E-2</v>
      </c>
      <c r="C4">
        <v>0</v>
      </c>
      <c r="D4">
        <v>2</v>
      </c>
      <c r="E4">
        <v>1</v>
      </c>
      <c r="F4">
        <v>2</v>
      </c>
      <c r="G4">
        <v>0</v>
      </c>
    </row>
    <row r="5" spans="1:7" x14ac:dyDescent="0.2">
      <c r="A5">
        <v>120</v>
      </c>
      <c r="B5" s="1">
        <f t="shared" si="0"/>
        <v>0.10909090909090909</v>
      </c>
      <c r="C5">
        <v>0</v>
      </c>
      <c r="D5">
        <v>3</v>
      </c>
      <c r="E5">
        <v>1</v>
      </c>
      <c r="F5">
        <v>2</v>
      </c>
      <c r="G5">
        <v>0</v>
      </c>
    </row>
    <row r="6" spans="1:7" x14ac:dyDescent="0.2">
      <c r="A6">
        <v>150</v>
      </c>
      <c r="B6" s="1">
        <f t="shared" si="0"/>
        <v>0.10909090909090909</v>
      </c>
      <c r="C6">
        <v>0</v>
      </c>
      <c r="D6">
        <v>3</v>
      </c>
      <c r="E6">
        <v>1</v>
      </c>
      <c r="F6">
        <v>2</v>
      </c>
      <c r="G6">
        <v>0</v>
      </c>
    </row>
    <row r="7" spans="1:7" x14ac:dyDescent="0.2">
      <c r="A7">
        <v>180</v>
      </c>
      <c r="B7" s="1">
        <f t="shared" si="0"/>
        <v>0.14545454545454548</v>
      </c>
      <c r="C7">
        <v>0</v>
      </c>
      <c r="D7">
        <v>3</v>
      </c>
      <c r="E7">
        <v>2</v>
      </c>
      <c r="F7">
        <v>2</v>
      </c>
      <c r="G7">
        <v>1</v>
      </c>
    </row>
    <row r="8" spans="1:7" x14ac:dyDescent="0.2">
      <c r="A8">
        <v>210</v>
      </c>
      <c r="B8" s="1">
        <f t="shared" si="0"/>
        <v>0.14545454545454548</v>
      </c>
      <c r="C8">
        <v>0</v>
      </c>
      <c r="D8">
        <v>3</v>
      </c>
      <c r="E8">
        <v>2</v>
      </c>
      <c r="F8">
        <v>2</v>
      </c>
      <c r="G8">
        <v>1</v>
      </c>
    </row>
    <row r="9" spans="1:7" x14ac:dyDescent="0.2">
      <c r="A9">
        <v>240</v>
      </c>
      <c r="B9" s="1">
        <f t="shared" si="0"/>
        <v>0.2</v>
      </c>
      <c r="C9">
        <v>0</v>
      </c>
      <c r="D9">
        <v>3</v>
      </c>
      <c r="E9">
        <v>2</v>
      </c>
      <c r="F9">
        <v>3</v>
      </c>
      <c r="G9">
        <v>3</v>
      </c>
    </row>
    <row r="10" spans="1:7" x14ac:dyDescent="0.2">
      <c r="A10">
        <v>270</v>
      </c>
      <c r="B10" s="1">
        <f t="shared" si="0"/>
        <v>0.2</v>
      </c>
      <c r="C10">
        <v>0</v>
      </c>
      <c r="D10">
        <v>3</v>
      </c>
      <c r="E10">
        <v>2</v>
      </c>
      <c r="F10">
        <v>3</v>
      </c>
      <c r="G10">
        <v>3</v>
      </c>
    </row>
    <row r="11" spans="1:7" x14ac:dyDescent="0.2">
      <c r="A11">
        <v>300</v>
      </c>
      <c r="B11" s="1">
        <f t="shared" si="0"/>
        <v>0.2</v>
      </c>
      <c r="C11">
        <v>0</v>
      </c>
      <c r="D11">
        <v>3</v>
      </c>
      <c r="E11">
        <v>2</v>
      </c>
      <c r="F11">
        <v>3</v>
      </c>
      <c r="G11">
        <v>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B11"/>
  <sheetViews>
    <sheetView workbookViewId="0">
      <selection activeCell="K34" sqref="K34"/>
    </sheetView>
  </sheetViews>
  <sheetFormatPr baseColWidth="10" defaultRowHeight="16" x14ac:dyDescent="0.2"/>
  <cols>
    <col min="2" max="2" width="10.83203125" style="1"/>
  </cols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3/11</f>
        <v>0.27272727272727271</v>
      </c>
    </row>
    <row r="3" spans="1:2" x14ac:dyDescent="0.2">
      <c r="A3">
        <v>60</v>
      </c>
      <c r="B3" s="1">
        <f>6/11</f>
        <v>0.54545454545454541</v>
      </c>
    </row>
    <row r="4" spans="1:2" x14ac:dyDescent="0.2">
      <c r="A4">
        <v>90</v>
      </c>
      <c r="B4" s="1">
        <f>11/11</f>
        <v>1</v>
      </c>
    </row>
    <row r="5" spans="1:2" x14ac:dyDescent="0.2">
      <c r="A5">
        <v>120</v>
      </c>
      <c r="B5" s="1">
        <f t="shared" ref="B5:B11" si="0">11/11</f>
        <v>1</v>
      </c>
    </row>
    <row r="6" spans="1:2" x14ac:dyDescent="0.2">
      <c r="A6">
        <v>150</v>
      </c>
      <c r="B6" s="1">
        <f t="shared" si="0"/>
        <v>1</v>
      </c>
    </row>
    <row r="7" spans="1:2" x14ac:dyDescent="0.2">
      <c r="A7">
        <v>180</v>
      </c>
      <c r="B7" s="1">
        <f t="shared" si="0"/>
        <v>1</v>
      </c>
    </row>
    <row r="8" spans="1:2" x14ac:dyDescent="0.2">
      <c r="A8">
        <v>210</v>
      </c>
      <c r="B8" s="1">
        <f t="shared" si="0"/>
        <v>1</v>
      </c>
    </row>
    <row r="9" spans="1:2" x14ac:dyDescent="0.2">
      <c r="A9">
        <v>240</v>
      </c>
      <c r="B9" s="1">
        <f t="shared" si="0"/>
        <v>1</v>
      </c>
    </row>
    <row r="10" spans="1:2" x14ac:dyDescent="0.2">
      <c r="A10">
        <v>270</v>
      </c>
      <c r="B10" s="1">
        <f t="shared" si="0"/>
        <v>1</v>
      </c>
    </row>
    <row r="11" spans="1:2" x14ac:dyDescent="0.2">
      <c r="A11">
        <v>300</v>
      </c>
      <c r="B11" s="1">
        <f t="shared" si="0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1</v>
      </c>
      <c r="F3">
        <v>0</v>
      </c>
      <c r="G3">
        <v>0</v>
      </c>
    </row>
    <row r="4" spans="1:7" x14ac:dyDescent="0.2">
      <c r="A4">
        <v>90</v>
      </c>
      <c r="B4" s="1">
        <f t="shared" si="0"/>
        <v>3.6363636363636369E-2</v>
      </c>
      <c r="C4">
        <v>0</v>
      </c>
      <c r="D4">
        <v>0</v>
      </c>
      <c r="E4">
        <v>1</v>
      </c>
      <c r="F4">
        <v>1</v>
      </c>
      <c r="G4">
        <v>0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1</v>
      </c>
      <c r="G5">
        <v>0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1</v>
      </c>
      <c r="G6">
        <v>0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1</v>
      </c>
      <c r="G7">
        <v>0</v>
      </c>
    </row>
    <row r="8" spans="1:7" x14ac:dyDescent="0.2">
      <c r="A8">
        <v>210</v>
      </c>
      <c r="B8" s="1">
        <f t="shared" si="0"/>
        <v>7.2727272727272738E-2</v>
      </c>
      <c r="C8">
        <v>0</v>
      </c>
      <c r="D8">
        <v>0</v>
      </c>
      <c r="E8">
        <v>2</v>
      </c>
      <c r="F8">
        <v>2</v>
      </c>
      <c r="G8">
        <v>0</v>
      </c>
    </row>
    <row r="9" spans="1:7" x14ac:dyDescent="0.2">
      <c r="A9">
        <v>240</v>
      </c>
      <c r="B9" s="1">
        <f t="shared" si="0"/>
        <v>9.0909090909090912E-2</v>
      </c>
      <c r="C9">
        <v>0</v>
      </c>
      <c r="D9">
        <v>0</v>
      </c>
      <c r="E9">
        <v>2</v>
      </c>
      <c r="F9">
        <v>3</v>
      </c>
      <c r="G9">
        <v>0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2</v>
      </c>
      <c r="F10">
        <v>3</v>
      </c>
      <c r="G10">
        <v>0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2</v>
      </c>
      <c r="F11">
        <v>3</v>
      </c>
      <c r="G1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B11"/>
  <sheetViews>
    <sheetView tabSelected="1" workbookViewId="0">
      <selection activeCell="P34" sqref="P34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7/19</f>
        <v>0.36842105263157893</v>
      </c>
    </row>
    <row r="3" spans="1:2" x14ac:dyDescent="0.2">
      <c r="A3">
        <v>60</v>
      </c>
      <c r="B3" s="1">
        <f>9/19</f>
        <v>0.47368421052631576</v>
      </c>
    </row>
    <row r="4" spans="1:2" x14ac:dyDescent="0.2">
      <c r="A4">
        <v>90</v>
      </c>
      <c r="B4" s="1">
        <f>14/19</f>
        <v>0.73684210526315785</v>
      </c>
    </row>
    <row r="5" spans="1:2" x14ac:dyDescent="0.2">
      <c r="A5">
        <v>120</v>
      </c>
      <c r="B5" s="1">
        <f>16/19</f>
        <v>0.84210526315789469</v>
      </c>
    </row>
    <row r="6" spans="1:2" x14ac:dyDescent="0.2">
      <c r="A6">
        <v>150</v>
      </c>
      <c r="B6" s="1">
        <f t="shared" ref="B6:B11" si="0">16/19</f>
        <v>0.84210526315789469</v>
      </c>
    </row>
    <row r="7" spans="1:2" x14ac:dyDescent="0.2">
      <c r="A7">
        <v>180</v>
      </c>
      <c r="B7" s="1">
        <f t="shared" si="0"/>
        <v>0.84210526315789469</v>
      </c>
    </row>
    <row r="8" spans="1:2" x14ac:dyDescent="0.2">
      <c r="A8">
        <v>210</v>
      </c>
      <c r="B8" s="1">
        <f t="shared" si="0"/>
        <v>0.84210526315789469</v>
      </c>
    </row>
    <row r="9" spans="1:2" x14ac:dyDescent="0.2">
      <c r="A9">
        <v>240</v>
      </c>
      <c r="B9" s="1">
        <f t="shared" si="0"/>
        <v>0.84210526315789469</v>
      </c>
    </row>
    <row r="10" spans="1:2" x14ac:dyDescent="0.2">
      <c r="A10">
        <v>270</v>
      </c>
      <c r="B10" s="1">
        <f t="shared" si="0"/>
        <v>0.84210526315789469</v>
      </c>
    </row>
    <row r="11" spans="1:2" x14ac:dyDescent="0.2">
      <c r="A11">
        <v>300</v>
      </c>
      <c r="B11" s="1">
        <f t="shared" si="0"/>
        <v>0.84210526315789469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G11"/>
  <sheetViews>
    <sheetView workbookViewId="0">
      <selection activeCell="G3" sqref="G3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0</v>
      </c>
      <c r="F3">
        <v>0</v>
      </c>
      <c r="G3">
        <v>1</v>
      </c>
    </row>
    <row r="4" spans="1:7" x14ac:dyDescent="0.2">
      <c r="A4">
        <v>90</v>
      </c>
      <c r="B4" s="1">
        <f t="shared" si="0"/>
        <v>1.8181818181818184E-2</v>
      </c>
      <c r="C4">
        <v>0</v>
      </c>
      <c r="D4">
        <v>0</v>
      </c>
      <c r="E4">
        <v>0</v>
      </c>
      <c r="F4">
        <v>0</v>
      </c>
      <c r="G4">
        <v>1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0</v>
      </c>
      <c r="G6">
        <v>1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0</v>
      </c>
      <c r="G7">
        <v>1</v>
      </c>
    </row>
    <row r="8" spans="1:7" x14ac:dyDescent="0.2">
      <c r="A8">
        <v>210</v>
      </c>
      <c r="B8" s="1">
        <f t="shared" si="0"/>
        <v>5.4545454545454543E-2</v>
      </c>
      <c r="C8">
        <v>0</v>
      </c>
      <c r="D8">
        <v>0</v>
      </c>
      <c r="E8">
        <v>2</v>
      </c>
      <c r="F8">
        <v>0</v>
      </c>
      <c r="G8">
        <v>1</v>
      </c>
    </row>
    <row r="9" spans="1:7" x14ac:dyDescent="0.2">
      <c r="A9">
        <v>240</v>
      </c>
      <c r="B9" s="1">
        <f t="shared" si="0"/>
        <v>5.4545454545454543E-2</v>
      </c>
      <c r="C9">
        <v>0</v>
      </c>
      <c r="D9">
        <v>0</v>
      </c>
      <c r="E9">
        <v>2</v>
      </c>
      <c r="F9">
        <v>0</v>
      </c>
      <c r="G9">
        <v>1</v>
      </c>
    </row>
    <row r="10" spans="1:7" x14ac:dyDescent="0.2">
      <c r="A10">
        <v>270</v>
      </c>
      <c r="B10" s="1">
        <f t="shared" si="0"/>
        <v>5.4545454545454543E-2</v>
      </c>
      <c r="C10">
        <v>0</v>
      </c>
      <c r="D10">
        <v>0</v>
      </c>
      <c r="E10">
        <v>2</v>
      </c>
      <c r="F10">
        <v>0</v>
      </c>
      <c r="G10">
        <v>1</v>
      </c>
    </row>
    <row r="11" spans="1:7" x14ac:dyDescent="0.2">
      <c r="A11">
        <v>300</v>
      </c>
      <c r="B11" s="1">
        <f t="shared" si="0"/>
        <v>5.4545454545454543E-2</v>
      </c>
      <c r="C11">
        <v>0</v>
      </c>
      <c r="D11">
        <v>0</v>
      </c>
      <c r="E11">
        <v>2</v>
      </c>
      <c r="F11">
        <v>0</v>
      </c>
      <c r="G11">
        <v>1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VR Template-Interactobot</vt:lpstr>
      <vt:lpstr>VR Template-Interactobot_rand</vt:lpstr>
      <vt:lpstr>XRI Assets-Interactobot</vt:lpstr>
      <vt:lpstr>XRI Assets-Interactobot_rand</vt:lpstr>
      <vt:lpstr>EscapeProto-Interactobot</vt:lpstr>
      <vt:lpstr>EscapeProto-Interactobot_rand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2025-05-13T16:13:20Z</dcterms:modified>
</cp:coreProperties>
</file>